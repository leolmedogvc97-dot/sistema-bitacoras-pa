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lm\Downloads\"/>
    </mc:Choice>
  </mc:AlternateContent>
  <xr:revisionPtr revIDLastSave="0" documentId="8_{7FE5FE02-F633-423C-8D72-743668EC16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DE_DATOS" sheetId="1" r:id="rId1"/>
    <sheet name="1_RECORRIDO_Y_CONSUMO" sheetId="2" r:id="rId2"/>
    <sheet name="2_BITACORA_VERSA" sheetId="3" r:id="rId3"/>
    <sheet name="3_BITACORAS_INDIVIDUA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B370" i="4"/>
  <c r="B369" i="4"/>
  <c r="C368" i="4"/>
  <c r="B367" i="4"/>
  <c r="D365" i="4"/>
  <c r="B365" i="4"/>
  <c r="D364" i="4"/>
  <c r="B364" i="4"/>
  <c r="D363" i="4"/>
  <c r="B363" i="4"/>
  <c r="D362" i="4"/>
  <c r="B358" i="4"/>
  <c r="B357" i="4"/>
  <c r="C356" i="4"/>
  <c r="B355" i="4"/>
  <c r="D353" i="4"/>
  <c r="B353" i="4"/>
  <c r="D352" i="4"/>
  <c r="B352" i="4"/>
  <c r="D351" i="4"/>
  <c r="B351" i="4"/>
  <c r="D350" i="4"/>
  <c r="A349" i="4"/>
  <c r="B346" i="4"/>
  <c r="B345" i="4"/>
  <c r="C344" i="4"/>
  <c r="B343" i="4"/>
  <c r="D341" i="4"/>
  <c r="B341" i="4"/>
  <c r="D340" i="4"/>
  <c r="B340" i="4"/>
  <c r="D339" i="4"/>
  <c r="B339" i="4"/>
  <c r="D338" i="4"/>
  <c r="A337" i="4"/>
  <c r="B334" i="4"/>
  <c r="B333" i="4"/>
  <c r="C332" i="4"/>
  <c r="B331" i="4"/>
  <c r="D329" i="4"/>
  <c r="B329" i="4"/>
  <c r="D328" i="4"/>
  <c r="B328" i="4"/>
  <c r="D327" i="4"/>
  <c r="B327" i="4"/>
  <c r="D326" i="4"/>
  <c r="A325" i="4"/>
  <c r="B322" i="4"/>
  <c r="B321" i="4"/>
  <c r="C320" i="4"/>
  <c r="B319" i="4"/>
  <c r="D317" i="4"/>
  <c r="B317" i="4"/>
  <c r="D316" i="4"/>
  <c r="B316" i="4"/>
  <c r="D315" i="4"/>
  <c r="B315" i="4"/>
  <c r="D314" i="4"/>
  <c r="A313" i="4"/>
  <c r="B310" i="4"/>
  <c r="B309" i="4"/>
  <c r="C308" i="4"/>
  <c r="B307" i="4"/>
  <c r="D305" i="4"/>
  <c r="B305" i="4"/>
  <c r="D304" i="4"/>
  <c r="B304" i="4"/>
  <c r="D303" i="4"/>
  <c r="B303" i="4"/>
  <c r="D302" i="4"/>
  <c r="A301" i="4"/>
  <c r="B298" i="4"/>
  <c r="B297" i="4"/>
  <c r="C296" i="4"/>
  <c r="B295" i="4"/>
  <c r="D293" i="4"/>
  <c r="B293" i="4"/>
  <c r="D292" i="4"/>
  <c r="B292" i="4"/>
  <c r="D291" i="4"/>
  <c r="B291" i="4"/>
  <c r="D290" i="4"/>
  <c r="A289" i="4" s="1"/>
  <c r="B286" i="4"/>
  <c r="B285" i="4"/>
  <c r="C284" i="4"/>
  <c r="B283" i="4"/>
  <c r="D281" i="4"/>
  <c r="B281" i="4"/>
  <c r="D280" i="4"/>
  <c r="B280" i="4"/>
  <c r="D279" i="4"/>
  <c r="B279" i="4"/>
  <c r="D278" i="4"/>
  <c r="A277" i="4" s="1"/>
  <c r="B274" i="4"/>
  <c r="B273" i="4"/>
  <c r="C272" i="4"/>
  <c r="B271" i="4"/>
  <c r="D269" i="4"/>
  <c r="B269" i="4"/>
  <c r="D268" i="4"/>
  <c r="B268" i="4"/>
  <c r="D267" i="4"/>
  <c r="B267" i="4"/>
  <c r="D266" i="4"/>
  <c r="A265" i="4" s="1"/>
  <c r="B262" i="4"/>
  <c r="B261" i="4"/>
  <c r="C260" i="4"/>
  <c r="B259" i="4"/>
  <c r="D257" i="4"/>
  <c r="B257" i="4"/>
  <c r="D256" i="4"/>
  <c r="B256" i="4"/>
  <c r="D255" i="4"/>
  <c r="B255" i="4"/>
  <c r="D254" i="4"/>
  <c r="A253" i="4"/>
  <c r="B250" i="4"/>
  <c r="B249" i="4"/>
  <c r="C248" i="4"/>
  <c r="B247" i="4"/>
  <c r="D245" i="4"/>
  <c r="B245" i="4"/>
  <c r="D244" i="4"/>
  <c r="B244" i="4"/>
  <c r="D243" i="4"/>
  <c r="B243" i="4"/>
  <c r="D242" i="4"/>
  <c r="A241" i="4" s="1"/>
  <c r="B238" i="4"/>
  <c r="B237" i="4"/>
  <c r="C236" i="4"/>
  <c r="B235" i="4"/>
  <c r="D233" i="4"/>
  <c r="B233" i="4"/>
  <c r="D232" i="4"/>
  <c r="B232" i="4"/>
  <c r="D231" i="4"/>
  <c r="B231" i="4"/>
  <c r="D230" i="4"/>
  <c r="A229" i="4" s="1"/>
  <c r="B226" i="4"/>
  <c r="B225" i="4"/>
  <c r="C224" i="4"/>
  <c r="B223" i="4"/>
  <c r="D221" i="4"/>
  <c r="B221" i="4"/>
  <c r="D220" i="4"/>
  <c r="B220" i="4"/>
  <c r="D219" i="4"/>
  <c r="B219" i="4"/>
  <c r="D218" i="4"/>
  <c r="A217" i="4" s="1"/>
  <c r="B214" i="4"/>
  <c r="B213" i="4"/>
  <c r="C212" i="4"/>
  <c r="B211" i="4"/>
  <c r="D209" i="4"/>
  <c r="B209" i="4"/>
  <c r="D208" i="4"/>
  <c r="B208" i="4"/>
  <c r="D207" i="4"/>
  <c r="B207" i="4"/>
  <c r="D206" i="4"/>
  <c r="A205" i="4" s="1"/>
  <c r="B202" i="4"/>
  <c r="B201" i="4"/>
  <c r="C200" i="4"/>
  <c r="B199" i="4"/>
  <c r="D197" i="4"/>
  <c r="B197" i="4"/>
  <c r="D196" i="4"/>
  <c r="B196" i="4"/>
  <c r="D195" i="4"/>
  <c r="B195" i="4"/>
  <c r="D194" i="4"/>
  <c r="A193" i="4" s="1"/>
  <c r="B190" i="4"/>
  <c r="B189" i="4"/>
  <c r="C188" i="4"/>
  <c r="B187" i="4"/>
  <c r="D185" i="4"/>
  <c r="B185" i="4"/>
  <c r="D184" i="4"/>
  <c r="B184" i="4"/>
  <c r="D183" i="4"/>
  <c r="B183" i="4"/>
  <c r="D182" i="4"/>
  <c r="A181" i="4" s="1"/>
  <c r="B178" i="4"/>
  <c r="B177" i="4"/>
  <c r="C176" i="4"/>
  <c r="B175" i="4"/>
  <c r="D173" i="4"/>
  <c r="B173" i="4"/>
  <c r="D172" i="4"/>
  <c r="B172" i="4"/>
  <c r="D171" i="4"/>
  <c r="B171" i="4"/>
  <c r="D170" i="4"/>
  <c r="A169" i="4" s="1"/>
  <c r="B166" i="4"/>
  <c r="B165" i="4"/>
  <c r="C164" i="4"/>
  <c r="B163" i="4"/>
  <c r="D161" i="4"/>
  <c r="B161" i="4"/>
  <c r="D160" i="4"/>
  <c r="B160" i="4"/>
  <c r="D159" i="4"/>
  <c r="B159" i="4"/>
  <c r="D158" i="4"/>
  <c r="A157" i="4" s="1"/>
  <c r="B154" i="4"/>
  <c r="B153" i="4"/>
  <c r="C152" i="4"/>
  <c r="B151" i="4"/>
  <c r="D149" i="4"/>
  <c r="B149" i="4"/>
  <c r="D148" i="4"/>
  <c r="B148" i="4"/>
  <c r="D147" i="4"/>
  <c r="B147" i="4"/>
  <c r="D146" i="4"/>
  <c r="A145" i="4" s="1"/>
  <c r="B142" i="4"/>
  <c r="B141" i="4"/>
  <c r="C140" i="4"/>
  <c r="B139" i="4"/>
  <c r="D137" i="4"/>
  <c r="B137" i="4"/>
  <c r="D136" i="4"/>
  <c r="B136" i="4"/>
  <c r="D135" i="4"/>
  <c r="B135" i="4"/>
  <c r="D134" i="4"/>
  <c r="A133" i="4" s="1"/>
  <c r="B130" i="4"/>
  <c r="B129" i="4"/>
  <c r="C128" i="4"/>
  <c r="B127" i="4"/>
  <c r="D125" i="4"/>
  <c r="B125" i="4"/>
  <c r="D124" i="4"/>
  <c r="B124" i="4"/>
  <c r="D123" i="4"/>
  <c r="B123" i="4"/>
  <c r="D122" i="4"/>
  <c r="A121" i="4" s="1"/>
  <c r="B118" i="4"/>
  <c r="B117" i="4"/>
  <c r="C116" i="4"/>
  <c r="B115" i="4"/>
  <c r="D113" i="4"/>
  <c r="B113" i="4"/>
  <c r="D112" i="4"/>
  <c r="B112" i="4"/>
  <c r="D111" i="4"/>
  <c r="B111" i="4"/>
  <c r="D110" i="4"/>
  <c r="A109" i="4" s="1"/>
  <c r="B106" i="4"/>
  <c r="B105" i="4"/>
  <c r="C104" i="4"/>
  <c r="B103" i="4"/>
  <c r="D101" i="4"/>
  <c r="B101" i="4"/>
  <c r="D100" i="4"/>
  <c r="B100" i="4"/>
  <c r="D99" i="4"/>
  <c r="B99" i="4"/>
  <c r="D98" i="4"/>
  <c r="A97" i="4" s="1"/>
  <c r="B94" i="4"/>
  <c r="B93" i="4"/>
  <c r="C92" i="4"/>
  <c r="B91" i="4"/>
  <c r="D89" i="4"/>
  <c r="B89" i="4"/>
  <c r="D88" i="4"/>
  <c r="B88" i="4"/>
  <c r="D87" i="4"/>
  <c r="B87" i="4"/>
  <c r="D86" i="4"/>
  <c r="A85" i="4" s="1"/>
  <c r="B82" i="4"/>
  <c r="B81" i="4"/>
  <c r="C80" i="4"/>
  <c r="B79" i="4"/>
  <c r="D77" i="4"/>
  <c r="B77" i="4"/>
  <c r="D76" i="4"/>
  <c r="B76" i="4"/>
  <c r="D75" i="4"/>
  <c r="B75" i="4"/>
  <c r="D74" i="4"/>
  <c r="A73" i="4" s="1"/>
  <c r="B70" i="4"/>
  <c r="B69" i="4"/>
  <c r="C68" i="4"/>
  <c r="B67" i="4"/>
  <c r="D65" i="4"/>
  <c r="B65" i="4"/>
  <c r="D64" i="4"/>
  <c r="B64" i="4"/>
  <c r="D63" i="4"/>
  <c r="B63" i="4"/>
  <c r="D62" i="4"/>
  <c r="A61" i="4"/>
  <c r="B58" i="4"/>
  <c r="B57" i="4"/>
  <c r="C56" i="4"/>
  <c r="B55" i="4"/>
  <c r="D53" i="4"/>
  <c r="B53" i="4"/>
  <c r="D52" i="4"/>
  <c r="B52" i="4"/>
  <c r="D51" i="4"/>
  <c r="B51" i="4"/>
  <c r="D50" i="4"/>
  <c r="A49" i="4" s="1"/>
  <c r="B46" i="4"/>
  <c r="B45" i="4"/>
  <c r="C44" i="4"/>
  <c r="B43" i="4"/>
  <c r="D41" i="4"/>
  <c r="B41" i="4"/>
  <c r="D40" i="4"/>
  <c r="B40" i="4"/>
  <c r="D39" i="4"/>
  <c r="B39" i="4"/>
  <c r="D38" i="4"/>
  <c r="A37" i="4"/>
  <c r="B34" i="4"/>
  <c r="B33" i="4"/>
  <c r="C32" i="4"/>
  <c r="B31" i="4"/>
  <c r="D29" i="4"/>
  <c r="B29" i="4"/>
  <c r="D28" i="4"/>
  <c r="B28" i="4"/>
  <c r="D27" i="4"/>
  <c r="B27" i="4"/>
  <c r="D26" i="4"/>
  <c r="A25" i="4" s="1"/>
  <c r="B22" i="4"/>
  <c r="B21" i="4"/>
  <c r="C20" i="4"/>
  <c r="B19" i="4"/>
  <c r="D17" i="4"/>
  <c r="B17" i="4"/>
  <c r="D16" i="4"/>
  <c r="B16" i="4"/>
  <c r="D15" i="4"/>
  <c r="B15" i="4"/>
  <c r="D14" i="4"/>
  <c r="A13" i="4" s="1"/>
  <c r="B10" i="4"/>
  <c r="B9" i="4"/>
  <c r="C8" i="4"/>
  <c r="B7" i="4"/>
  <c r="D6" i="4"/>
  <c r="D5" i="4"/>
  <c r="B5" i="4"/>
  <c r="D4" i="4"/>
  <c r="B4" i="4"/>
  <c r="D3" i="4"/>
  <c r="B3" i="4"/>
  <c r="D2" i="4"/>
  <c r="W33" i="3"/>
  <c r="V33" i="3"/>
  <c r="T33" i="3"/>
  <c r="S33" i="3"/>
  <c r="R33" i="3"/>
  <c r="Q33" i="3"/>
  <c r="P33" i="3"/>
  <c r="N33" i="3"/>
  <c r="M33" i="3"/>
  <c r="L33" i="3"/>
  <c r="K33" i="3"/>
  <c r="J33" i="3"/>
  <c r="H33" i="3"/>
  <c r="G33" i="3"/>
  <c r="F33" i="3"/>
  <c r="E33" i="3"/>
  <c r="D33" i="3"/>
  <c r="C33" i="3"/>
  <c r="B33" i="3"/>
  <c r="A33" i="3"/>
  <c r="W32" i="3"/>
  <c r="V32" i="3"/>
  <c r="T32" i="3"/>
  <c r="S32" i="3"/>
  <c r="R32" i="3"/>
  <c r="Q32" i="3"/>
  <c r="P32" i="3"/>
  <c r="N32" i="3"/>
  <c r="M32" i="3"/>
  <c r="L32" i="3"/>
  <c r="K32" i="3"/>
  <c r="J32" i="3"/>
  <c r="H32" i="3"/>
  <c r="G32" i="3"/>
  <c r="F32" i="3"/>
  <c r="E32" i="3"/>
  <c r="D32" i="3"/>
  <c r="C32" i="3"/>
  <c r="B32" i="3"/>
  <c r="A32" i="3"/>
  <c r="W31" i="3"/>
  <c r="V31" i="3"/>
  <c r="T31" i="3"/>
  <c r="S31" i="3"/>
  <c r="R31" i="3"/>
  <c r="Q31" i="3"/>
  <c r="P31" i="3"/>
  <c r="N31" i="3"/>
  <c r="M31" i="3"/>
  <c r="L31" i="3"/>
  <c r="K31" i="3"/>
  <c r="J31" i="3"/>
  <c r="H31" i="3"/>
  <c r="G31" i="3"/>
  <c r="F31" i="3"/>
  <c r="E31" i="3"/>
  <c r="D31" i="3"/>
  <c r="C31" i="3"/>
  <c r="B31" i="3"/>
  <c r="A31" i="3"/>
  <c r="W30" i="3"/>
  <c r="V30" i="3"/>
  <c r="T30" i="3"/>
  <c r="S30" i="3"/>
  <c r="R30" i="3"/>
  <c r="Q30" i="3"/>
  <c r="P30" i="3"/>
  <c r="N30" i="3"/>
  <c r="M30" i="3"/>
  <c r="L30" i="3"/>
  <c r="K30" i="3"/>
  <c r="J30" i="3"/>
  <c r="H30" i="3"/>
  <c r="G30" i="3"/>
  <c r="F30" i="3"/>
  <c r="E30" i="3"/>
  <c r="D30" i="3"/>
  <c r="C30" i="3"/>
  <c r="B30" i="3"/>
  <c r="A30" i="3"/>
  <c r="W29" i="3"/>
  <c r="V29" i="3"/>
  <c r="T29" i="3"/>
  <c r="S29" i="3"/>
  <c r="R29" i="3"/>
  <c r="Q29" i="3"/>
  <c r="P29" i="3"/>
  <c r="N29" i="3"/>
  <c r="M29" i="3"/>
  <c r="L29" i="3"/>
  <c r="K29" i="3"/>
  <c r="J29" i="3"/>
  <c r="H29" i="3"/>
  <c r="G29" i="3"/>
  <c r="F29" i="3"/>
  <c r="E29" i="3"/>
  <c r="D29" i="3"/>
  <c r="C29" i="3"/>
  <c r="B29" i="3"/>
  <c r="A29" i="3"/>
  <c r="W28" i="3"/>
  <c r="V28" i="3"/>
  <c r="T28" i="3"/>
  <c r="S28" i="3"/>
  <c r="R28" i="3"/>
  <c r="Q28" i="3"/>
  <c r="P28" i="3"/>
  <c r="N28" i="3"/>
  <c r="M28" i="3"/>
  <c r="L28" i="3"/>
  <c r="K28" i="3"/>
  <c r="J28" i="3"/>
  <c r="H28" i="3"/>
  <c r="G28" i="3"/>
  <c r="F28" i="3"/>
  <c r="E28" i="3"/>
  <c r="D28" i="3"/>
  <c r="C28" i="3"/>
  <c r="B28" i="3"/>
  <c r="A28" i="3"/>
  <c r="W27" i="3"/>
  <c r="V27" i="3"/>
  <c r="T27" i="3"/>
  <c r="S27" i="3"/>
  <c r="R27" i="3"/>
  <c r="Q27" i="3"/>
  <c r="P27" i="3"/>
  <c r="N27" i="3"/>
  <c r="M27" i="3"/>
  <c r="L27" i="3"/>
  <c r="K27" i="3"/>
  <c r="J27" i="3"/>
  <c r="H27" i="3"/>
  <c r="G27" i="3"/>
  <c r="F27" i="3"/>
  <c r="E27" i="3"/>
  <c r="D27" i="3"/>
  <c r="C27" i="3"/>
  <c r="B27" i="3"/>
  <c r="A27" i="3"/>
  <c r="W26" i="3"/>
  <c r="V26" i="3"/>
  <c r="T26" i="3"/>
  <c r="S26" i="3"/>
  <c r="R26" i="3"/>
  <c r="Q26" i="3"/>
  <c r="P26" i="3"/>
  <c r="N26" i="3"/>
  <c r="M26" i="3"/>
  <c r="L26" i="3"/>
  <c r="K26" i="3"/>
  <c r="J26" i="3"/>
  <c r="H26" i="3"/>
  <c r="G26" i="3"/>
  <c r="F26" i="3"/>
  <c r="E26" i="3"/>
  <c r="D26" i="3"/>
  <c r="C26" i="3"/>
  <c r="B26" i="3"/>
  <c r="A26" i="3"/>
  <c r="W25" i="3"/>
  <c r="V25" i="3"/>
  <c r="T25" i="3"/>
  <c r="S25" i="3"/>
  <c r="R25" i="3"/>
  <c r="Q25" i="3"/>
  <c r="P25" i="3"/>
  <c r="N25" i="3"/>
  <c r="M25" i="3"/>
  <c r="L25" i="3"/>
  <c r="K25" i="3"/>
  <c r="J25" i="3"/>
  <c r="H25" i="3"/>
  <c r="G25" i="3"/>
  <c r="F25" i="3"/>
  <c r="E25" i="3"/>
  <c r="D25" i="3"/>
  <c r="C25" i="3"/>
  <c r="B25" i="3"/>
  <c r="A25" i="3"/>
  <c r="W24" i="3"/>
  <c r="V24" i="3"/>
  <c r="T24" i="3"/>
  <c r="S24" i="3"/>
  <c r="R24" i="3"/>
  <c r="Q24" i="3"/>
  <c r="P24" i="3"/>
  <c r="N24" i="3"/>
  <c r="M24" i="3"/>
  <c r="L24" i="3"/>
  <c r="K24" i="3"/>
  <c r="J24" i="3"/>
  <c r="H24" i="3"/>
  <c r="G24" i="3"/>
  <c r="F24" i="3"/>
  <c r="E24" i="3"/>
  <c r="D24" i="3"/>
  <c r="C24" i="3"/>
  <c r="B24" i="3"/>
  <c r="A24" i="3"/>
  <c r="W23" i="3"/>
  <c r="V23" i="3"/>
  <c r="T23" i="3"/>
  <c r="S23" i="3"/>
  <c r="R23" i="3"/>
  <c r="Q23" i="3"/>
  <c r="P23" i="3"/>
  <c r="N23" i="3"/>
  <c r="M23" i="3"/>
  <c r="L23" i="3"/>
  <c r="K23" i="3"/>
  <c r="J23" i="3"/>
  <c r="H23" i="3"/>
  <c r="G23" i="3"/>
  <c r="F23" i="3"/>
  <c r="E23" i="3"/>
  <c r="D23" i="3"/>
  <c r="C23" i="3"/>
  <c r="B23" i="3"/>
  <c r="A23" i="3"/>
  <c r="W22" i="3"/>
  <c r="V22" i="3"/>
  <c r="T22" i="3"/>
  <c r="S22" i="3"/>
  <c r="R22" i="3"/>
  <c r="Q22" i="3"/>
  <c r="P22" i="3"/>
  <c r="N22" i="3"/>
  <c r="M22" i="3"/>
  <c r="L22" i="3"/>
  <c r="K22" i="3"/>
  <c r="J22" i="3"/>
  <c r="H22" i="3"/>
  <c r="G22" i="3"/>
  <c r="F22" i="3"/>
  <c r="E22" i="3"/>
  <c r="D22" i="3"/>
  <c r="C22" i="3"/>
  <c r="B22" i="3"/>
  <c r="A22" i="3"/>
  <c r="W21" i="3"/>
  <c r="V21" i="3"/>
  <c r="T21" i="3"/>
  <c r="S21" i="3"/>
  <c r="R21" i="3"/>
  <c r="Q21" i="3"/>
  <c r="P21" i="3"/>
  <c r="N21" i="3"/>
  <c r="M21" i="3"/>
  <c r="L21" i="3"/>
  <c r="K21" i="3"/>
  <c r="J21" i="3"/>
  <c r="H21" i="3"/>
  <c r="G21" i="3"/>
  <c r="F21" i="3"/>
  <c r="E21" i="3"/>
  <c r="D21" i="3"/>
  <c r="C21" i="3"/>
  <c r="B21" i="3"/>
  <c r="A21" i="3"/>
  <c r="W20" i="3"/>
  <c r="V20" i="3"/>
  <c r="T20" i="3"/>
  <c r="S20" i="3"/>
  <c r="R20" i="3"/>
  <c r="Q20" i="3"/>
  <c r="P20" i="3"/>
  <c r="N20" i="3"/>
  <c r="M20" i="3"/>
  <c r="L20" i="3"/>
  <c r="K20" i="3"/>
  <c r="J20" i="3"/>
  <c r="H20" i="3"/>
  <c r="G20" i="3"/>
  <c r="F20" i="3"/>
  <c r="E20" i="3"/>
  <c r="D20" i="3"/>
  <c r="C20" i="3"/>
  <c r="B20" i="3"/>
  <c r="A20" i="3"/>
  <c r="W19" i="3"/>
  <c r="V19" i="3"/>
  <c r="T19" i="3"/>
  <c r="S19" i="3"/>
  <c r="R19" i="3"/>
  <c r="Q19" i="3"/>
  <c r="P19" i="3"/>
  <c r="N19" i="3"/>
  <c r="M19" i="3"/>
  <c r="L19" i="3"/>
  <c r="K19" i="3"/>
  <c r="J19" i="3"/>
  <c r="H19" i="3"/>
  <c r="G19" i="3"/>
  <c r="F19" i="3"/>
  <c r="E19" i="3"/>
  <c r="D19" i="3"/>
  <c r="C19" i="3"/>
  <c r="B19" i="3"/>
  <c r="A19" i="3"/>
  <c r="W18" i="3"/>
  <c r="V18" i="3"/>
  <c r="T18" i="3"/>
  <c r="S18" i="3"/>
  <c r="R18" i="3"/>
  <c r="Q18" i="3"/>
  <c r="P18" i="3"/>
  <c r="N18" i="3"/>
  <c r="M18" i="3"/>
  <c r="L18" i="3"/>
  <c r="K18" i="3"/>
  <c r="J18" i="3"/>
  <c r="H18" i="3"/>
  <c r="G18" i="3"/>
  <c r="F18" i="3"/>
  <c r="E18" i="3"/>
  <c r="D18" i="3"/>
  <c r="C18" i="3"/>
  <c r="B18" i="3"/>
  <c r="A18" i="3"/>
  <c r="W17" i="3"/>
  <c r="V17" i="3"/>
  <c r="T17" i="3"/>
  <c r="S17" i="3"/>
  <c r="R17" i="3"/>
  <c r="Q17" i="3"/>
  <c r="P17" i="3"/>
  <c r="N17" i="3"/>
  <c r="M17" i="3"/>
  <c r="L17" i="3"/>
  <c r="K17" i="3"/>
  <c r="J17" i="3"/>
  <c r="H17" i="3"/>
  <c r="G17" i="3"/>
  <c r="F17" i="3"/>
  <c r="E17" i="3"/>
  <c r="D17" i="3"/>
  <c r="C17" i="3"/>
  <c r="B17" i="3"/>
  <c r="A17" i="3"/>
  <c r="W16" i="3"/>
  <c r="V16" i="3"/>
  <c r="T16" i="3"/>
  <c r="S16" i="3"/>
  <c r="R16" i="3"/>
  <c r="Q16" i="3"/>
  <c r="P16" i="3"/>
  <c r="N16" i="3"/>
  <c r="M16" i="3"/>
  <c r="L16" i="3"/>
  <c r="K16" i="3"/>
  <c r="J16" i="3"/>
  <c r="H16" i="3"/>
  <c r="G16" i="3"/>
  <c r="F16" i="3"/>
  <c r="E16" i="3"/>
  <c r="D16" i="3"/>
  <c r="C16" i="3"/>
  <c r="B16" i="3"/>
  <c r="A16" i="3"/>
  <c r="W15" i="3"/>
  <c r="V15" i="3"/>
  <c r="T15" i="3"/>
  <c r="S15" i="3"/>
  <c r="R15" i="3"/>
  <c r="Q15" i="3"/>
  <c r="P15" i="3"/>
  <c r="N15" i="3"/>
  <c r="M15" i="3"/>
  <c r="L15" i="3"/>
  <c r="K15" i="3"/>
  <c r="J15" i="3"/>
  <c r="H15" i="3"/>
  <c r="G15" i="3"/>
  <c r="F15" i="3"/>
  <c r="E15" i="3"/>
  <c r="D15" i="3"/>
  <c r="C15" i="3"/>
  <c r="B15" i="3"/>
  <c r="A15" i="3"/>
  <c r="W14" i="3"/>
  <c r="V14" i="3"/>
  <c r="T14" i="3"/>
  <c r="S14" i="3"/>
  <c r="R14" i="3"/>
  <c r="Q14" i="3"/>
  <c r="P14" i="3"/>
  <c r="N14" i="3"/>
  <c r="M14" i="3"/>
  <c r="L14" i="3"/>
  <c r="K14" i="3"/>
  <c r="J14" i="3"/>
  <c r="H14" i="3"/>
  <c r="G14" i="3"/>
  <c r="F14" i="3"/>
  <c r="E14" i="3"/>
  <c r="D14" i="3"/>
  <c r="C14" i="3"/>
  <c r="B14" i="3"/>
  <c r="A14" i="3"/>
  <c r="W13" i="3"/>
  <c r="V13" i="3"/>
  <c r="T13" i="3"/>
  <c r="S13" i="3"/>
  <c r="R13" i="3"/>
  <c r="Q13" i="3"/>
  <c r="P13" i="3"/>
  <c r="N13" i="3"/>
  <c r="M13" i="3"/>
  <c r="L13" i="3"/>
  <c r="K13" i="3"/>
  <c r="J13" i="3"/>
  <c r="H13" i="3"/>
  <c r="G13" i="3"/>
  <c r="F13" i="3"/>
  <c r="E13" i="3"/>
  <c r="D13" i="3"/>
  <c r="C13" i="3"/>
  <c r="B13" i="3"/>
  <c r="A13" i="3"/>
  <c r="W12" i="3"/>
  <c r="V12" i="3"/>
  <c r="T12" i="3"/>
  <c r="S12" i="3"/>
  <c r="R12" i="3"/>
  <c r="Q12" i="3"/>
  <c r="P12" i="3"/>
  <c r="N12" i="3"/>
  <c r="M12" i="3"/>
  <c r="L12" i="3"/>
  <c r="K12" i="3"/>
  <c r="J12" i="3"/>
  <c r="H12" i="3"/>
  <c r="G12" i="3"/>
  <c r="F12" i="3"/>
  <c r="E12" i="3"/>
  <c r="D12" i="3"/>
  <c r="C12" i="3"/>
  <c r="B12" i="3"/>
  <c r="A12" i="3"/>
  <c r="W11" i="3"/>
  <c r="V11" i="3"/>
  <c r="T11" i="3"/>
  <c r="S11" i="3"/>
  <c r="R11" i="3"/>
  <c r="Q11" i="3"/>
  <c r="P11" i="3"/>
  <c r="N11" i="3"/>
  <c r="M11" i="3"/>
  <c r="L11" i="3"/>
  <c r="K11" i="3"/>
  <c r="J11" i="3"/>
  <c r="H11" i="3"/>
  <c r="G11" i="3"/>
  <c r="F11" i="3"/>
  <c r="E11" i="3"/>
  <c r="D11" i="3"/>
  <c r="C11" i="3"/>
  <c r="B11" i="3"/>
  <c r="A11" i="3"/>
  <c r="W10" i="3"/>
  <c r="V10" i="3"/>
  <c r="T10" i="3"/>
  <c r="S10" i="3"/>
  <c r="R10" i="3"/>
  <c r="Q10" i="3"/>
  <c r="P10" i="3"/>
  <c r="N10" i="3"/>
  <c r="M10" i="3"/>
  <c r="L10" i="3"/>
  <c r="K10" i="3"/>
  <c r="J10" i="3"/>
  <c r="H10" i="3"/>
  <c r="G10" i="3"/>
  <c r="F10" i="3"/>
  <c r="E10" i="3"/>
  <c r="D10" i="3"/>
  <c r="C10" i="3"/>
  <c r="B10" i="3"/>
  <c r="A10" i="3"/>
  <c r="W9" i="3"/>
  <c r="V9" i="3"/>
  <c r="T9" i="3"/>
  <c r="S9" i="3"/>
  <c r="R9" i="3"/>
  <c r="Q9" i="3"/>
  <c r="P9" i="3"/>
  <c r="N9" i="3"/>
  <c r="M9" i="3"/>
  <c r="L9" i="3"/>
  <c r="K9" i="3"/>
  <c r="J9" i="3"/>
  <c r="H9" i="3"/>
  <c r="G9" i="3"/>
  <c r="F9" i="3"/>
  <c r="E9" i="3"/>
  <c r="D9" i="3"/>
  <c r="C9" i="3"/>
  <c r="B9" i="3"/>
  <c r="A9" i="3"/>
  <c r="W8" i="3"/>
  <c r="V8" i="3"/>
  <c r="T8" i="3"/>
  <c r="S8" i="3"/>
  <c r="R8" i="3"/>
  <c r="Q8" i="3"/>
  <c r="P8" i="3"/>
  <c r="N8" i="3"/>
  <c r="M8" i="3"/>
  <c r="L8" i="3"/>
  <c r="K8" i="3"/>
  <c r="J8" i="3"/>
  <c r="H8" i="3"/>
  <c r="G8" i="3"/>
  <c r="F8" i="3"/>
  <c r="E8" i="3"/>
  <c r="D8" i="3"/>
  <c r="C8" i="3"/>
  <c r="B8" i="3"/>
  <c r="A8" i="3"/>
  <c r="W7" i="3"/>
  <c r="V7" i="3"/>
  <c r="T7" i="3"/>
  <c r="S7" i="3"/>
  <c r="R7" i="3"/>
  <c r="Q7" i="3"/>
  <c r="P7" i="3"/>
  <c r="N7" i="3"/>
  <c r="M7" i="3"/>
  <c r="L7" i="3"/>
  <c r="K7" i="3"/>
  <c r="J7" i="3"/>
  <c r="H7" i="3"/>
  <c r="G7" i="3"/>
  <c r="F7" i="3"/>
  <c r="E7" i="3"/>
  <c r="D7" i="3"/>
  <c r="C7" i="3"/>
  <c r="B7" i="3"/>
  <c r="A7" i="3"/>
  <c r="W6" i="3"/>
  <c r="V6" i="3"/>
  <c r="T6" i="3"/>
  <c r="S6" i="3"/>
  <c r="R6" i="3"/>
  <c r="Q6" i="3"/>
  <c r="P6" i="3"/>
  <c r="N6" i="3"/>
  <c r="M6" i="3"/>
  <c r="L6" i="3"/>
  <c r="K6" i="3"/>
  <c r="J6" i="3"/>
  <c r="H6" i="3"/>
  <c r="G6" i="3"/>
  <c r="F6" i="3"/>
  <c r="E6" i="3"/>
  <c r="D6" i="3"/>
  <c r="C6" i="3"/>
  <c r="B6" i="3"/>
  <c r="A6" i="3"/>
  <c r="W5" i="3"/>
  <c r="V5" i="3"/>
  <c r="T5" i="3"/>
  <c r="S5" i="3"/>
  <c r="R5" i="3"/>
  <c r="Q5" i="3"/>
  <c r="P5" i="3"/>
  <c r="N5" i="3"/>
  <c r="M5" i="3"/>
  <c r="L5" i="3"/>
  <c r="K5" i="3"/>
  <c r="J5" i="3"/>
  <c r="H5" i="3"/>
  <c r="G5" i="3"/>
  <c r="F5" i="3"/>
  <c r="E5" i="3"/>
  <c r="D5" i="3"/>
  <c r="C5" i="3"/>
  <c r="B5" i="3"/>
  <c r="A5" i="3"/>
  <c r="W4" i="3"/>
  <c r="V4" i="3"/>
  <c r="T4" i="3"/>
  <c r="S4" i="3"/>
  <c r="R4" i="3"/>
  <c r="Q4" i="3"/>
  <c r="P4" i="3"/>
  <c r="N4" i="3"/>
  <c r="M4" i="3"/>
  <c r="L4" i="3"/>
  <c r="K4" i="3"/>
  <c r="J4" i="3"/>
  <c r="H4" i="3"/>
  <c r="G4" i="3"/>
  <c r="F4" i="3"/>
  <c r="E4" i="3"/>
  <c r="D4" i="3"/>
  <c r="C4" i="3"/>
  <c r="B4" i="3"/>
  <c r="A4" i="3"/>
  <c r="W3" i="3"/>
  <c r="V3" i="3"/>
  <c r="T3" i="3"/>
  <c r="S3" i="3"/>
  <c r="R3" i="3"/>
  <c r="Q3" i="3"/>
  <c r="P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H37" i="2"/>
  <c r="F37" i="2"/>
  <c r="D37" i="2"/>
  <c r="C37" i="2"/>
  <c r="B37" i="2"/>
  <c r="A37" i="2"/>
  <c r="H36" i="2"/>
  <c r="F36" i="2"/>
  <c r="K39" i="2" s="1"/>
  <c r="M39" i="2" s="1"/>
  <c r="N39" i="2" s="1"/>
  <c r="D36" i="2"/>
  <c r="C36" i="2"/>
  <c r="B36" i="2"/>
  <c r="A36" i="2"/>
  <c r="H35" i="2"/>
  <c r="F35" i="2"/>
  <c r="K38" i="2" s="1"/>
  <c r="M38" i="2" s="1"/>
  <c r="N38" i="2" s="1"/>
  <c r="D35" i="2"/>
  <c r="C35" i="2"/>
  <c r="B35" i="2"/>
  <c r="A35" i="2"/>
  <c r="H34" i="2"/>
  <c r="F34" i="2"/>
  <c r="K37" i="2" s="1"/>
  <c r="M37" i="2" s="1"/>
  <c r="N37" i="2" s="1"/>
  <c r="D34" i="2"/>
  <c r="C34" i="2"/>
  <c r="B34" i="2"/>
  <c r="A34" i="2"/>
  <c r="H33" i="2"/>
  <c r="F33" i="2"/>
  <c r="K36" i="2" s="1"/>
  <c r="M36" i="2" s="1"/>
  <c r="N36" i="2" s="1"/>
  <c r="D33" i="2"/>
  <c r="C33" i="2"/>
  <c r="B33" i="2"/>
  <c r="A33" i="2"/>
  <c r="H32" i="2"/>
  <c r="F32" i="2"/>
  <c r="K35" i="2" s="1"/>
  <c r="M35" i="2" s="1"/>
  <c r="N35" i="2" s="1"/>
  <c r="D32" i="2"/>
  <c r="C32" i="2"/>
  <c r="B32" i="2"/>
  <c r="A32" i="2"/>
  <c r="H31" i="2"/>
  <c r="F31" i="2"/>
  <c r="K34" i="2" s="1"/>
  <c r="M34" i="2" s="1"/>
  <c r="N34" i="2" s="1"/>
  <c r="D31" i="2"/>
  <c r="C31" i="2"/>
  <c r="B31" i="2"/>
  <c r="A31" i="2"/>
  <c r="H30" i="2"/>
  <c r="F30" i="2"/>
  <c r="K33" i="2" s="1"/>
  <c r="M33" i="2" s="1"/>
  <c r="N33" i="2" s="1"/>
  <c r="D30" i="2"/>
  <c r="C30" i="2"/>
  <c r="B30" i="2"/>
  <c r="A30" i="2"/>
  <c r="H29" i="2"/>
  <c r="F29" i="2"/>
  <c r="K32" i="2" s="1"/>
  <c r="M32" i="2" s="1"/>
  <c r="N32" i="2" s="1"/>
  <c r="D29" i="2"/>
  <c r="C29" i="2"/>
  <c r="B29" i="2"/>
  <c r="A29" i="2"/>
  <c r="H28" i="2"/>
  <c r="F28" i="2"/>
  <c r="K31" i="2" s="1"/>
  <c r="M31" i="2" s="1"/>
  <c r="N31" i="2" s="1"/>
  <c r="D28" i="2"/>
  <c r="C28" i="2"/>
  <c r="B28" i="2"/>
  <c r="A28" i="2"/>
  <c r="K27" i="2"/>
  <c r="M27" i="2" s="1"/>
  <c r="N27" i="2" s="1"/>
  <c r="H27" i="2"/>
  <c r="F27" i="2"/>
  <c r="K30" i="2" s="1"/>
  <c r="M30" i="2" s="1"/>
  <c r="N30" i="2" s="1"/>
  <c r="D27" i="2"/>
  <c r="C27" i="2"/>
  <c r="B27" i="2"/>
  <c r="A27" i="2"/>
  <c r="K26" i="2"/>
  <c r="M26" i="2" s="1"/>
  <c r="N26" i="2" s="1"/>
  <c r="H26" i="2"/>
  <c r="F26" i="2"/>
  <c r="K29" i="2" s="1"/>
  <c r="M29" i="2" s="1"/>
  <c r="N29" i="2" s="1"/>
  <c r="D26" i="2"/>
  <c r="C26" i="2"/>
  <c r="B26" i="2"/>
  <c r="A26" i="2"/>
  <c r="K25" i="2"/>
  <c r="M25" i="2" s="1"/>
  <c r="N25" i="2" s="1"/>
  <c r="H25" i="2"/>
  <c r="F25" i="2"/>
  <c r="K28" i="2" s="1"/>
  <c r="M28" i="2" s="1"/>
  <c r="N28" i="2" s="1"/>
  <c r="D25" i="2"/>
  <c r="C25" i="2"/>
  <c r="B25" i="2"/>
  <c r="A25" i="2"/>
  <c r="H24" i="2"/>
  <c r="F24" i="2"/>
  <c r="D24" i="2"/>
  <c r="C24" i="2"/>
  <c r="B24" i="2"/>
  <c r="A24" i="2"/>
  <c r="H23" i="2"/>
  <c r="F23" i="2"/>
  <c r="D23" i="2"/>
  <c r="C23" i="2"/>
  <c r="B23" i="2"/>
  <c r="A23" i="2"/>
  <c r="H22" i="2"/>
  <c r="F22" i="2"/>
  <c r="D22" i="2"/>
  <c r="C22" i="2"/>
  <c r="B22" i="2"/>
  <c r="A22" i="2"/>
  <c r="H21" i="2"/>
  <c r="F21" i="2"/>
  <c r="K24" i="2" s="1"/>
  <c r="M24" i="2" s="1"/>
  <c r="N24" i="2" s="1"/>
  <c r="D21" i="2"/>
  <c r="C21" i="2"/>
  <c r="B21" i="2"/>
  <c r="A21" i="2"/>
  <c r="H20" i="2"/>
  <c r="F20" i="2"/>
  <c r="K23" i="2" s="1"/>
  <c r="M23" i="2" s="1"/>
  <c r="N23" i="2" s="1"/>
  <c r="D20" i="2"/>
  <c r="C20" i="2"/>
  <c r="B20" i="2"/>
  <c r="A20" i="2"/>
  <c r="H19" i="2"/>
  <c r="F19" i="2"/>
  <c r="K22" i="2" s="1"/>
  <c r="M22" i="2" s="1"/>
  <c r="N22" i="2" s="1"/>
  <c r="D19" i="2"/>
  <c r="C19" i="2"/>
  <c r="B19" i="2"/>
  <c r="A19" i="2"/>
  <c r="H18" i="2"/>
  <c r="F18" i="2"/>
  <c r="K21" i="2" s="1"/>
  <c r="M21" i="2" s="1"/>
  <c r="N21" i="2" s="1"/>
  <c r="D18" i="2"/>
  <c r="C18" i="2"/>
  <c r="B18" i="2"/>
  <c r="A18" i="2"/>
  <c r="H17" i="2"/>
  <c r="F17" i="2"/>
  <c r="K20" i="2" s="1"/>
  <c r="M20" i="2" s="1"/>
  <c r="N20" i="2" s="1"/>
  <c r="D17" i="2"/>
  <c r="C17" i="2"/>
  <c r="B17" i="2"/>
  <c r="A17" i="2"/>
  <c r="H16" i="2"/>
  <c r="F16" i="2"/>
  <c r="K19" i="2" s="1"/>
  <c r="M19" i="2" s="1"/>
  <c r="N19" i="2" s="1"/>
  <c r="D16" i="2"/>
  <c r="C16" i="2"/>
  <c r="B16" i="2"/>
  <c r="A16" i="2"/>
  <c r="H15" i="2"/>
  <c r="F15" i="2"/>
  <c r="K18" i="2" s="1"/>
  <c r="M18" i="2" s="1"/>
  <c r="N18" i="2" s="1"/>
  <c r="D15" i="2"/>
  <c r="C15" i="2"/>
  <c r="B15" i="2"/>
  <c r="A15" i="2"/>
  <c r="H14" i="2"/>
  <c r="F14" i="2"/>
  <c r="K17" i="2" s="1"/>
  <c r="M17" i="2" s="1"/>
  <c r="N17" i="2" s="1"/>
  <c r="D14" i="2"/>
  <c r="C14" i="2"/>
  <c r="B14" i="2"/>
  <c r="A14" i="2"/>
  <c r="H13" i="2"/>
  <c r="F13" i="2"/>
  <c r="K16" i="2" s="1"/>
  <c r="M16" i="2" s="1"/>
  <c r="N16" i="2" s="1"/>
  <c r="D13" i="2"/>
  <c r="C13" i="2"/>
  <c r="B13" i="2"/>
  <c r="A13" i="2"/>
  <c r="H12" i="2"/>
  <c r="F12" i="2"/>
  <c r="K15" i="2" s="1"/>
  <c r="M15" i="2" s="1"/>
  <c r="N15" i="2" s="1"/>
  <c r="D12" i="2"/>
  <c r="C12" i="2"/>
  <c r="B12" i="2"/>
  <c r="A12" i="2"/>
  <c r="H11" i="2"/>
  <c r="F11" i="2"/>
  <c r="K14" i="2" s="1"/>
  <c r="M14" i="2" s="1"/>
  <c r="N14" i="2" s="1"/>
  <c r="D11" i="2"/>
  <c r="C11" i="2"/>
  <c r="B11" i="2"/>
  <c r="A11" i="2"/>
  <c r="H10" i="2"/>
  <c r="F10" i="2"/>
  <c r="K13" i="2" s="1"/>
  <c r="M13" i="2" s="1"/>
  <c r="N13" i="2" s="1"/>
  <c r="D10" i="2"/>
  <c r="C10" i="2"/>
  <c r="B10" i="2"/>
  <c r="A10" i="2"/>
  <c r="H9" i="2"/>
  <c r="F9" i="2"/>
  <c r="K12" i="2" s="1"/>
  <c r="M12" i="2" s="1"/>
  <c r="N12" i="2" s="1"/>
  <c r="D9" i="2"/>
  <c r="C9" i="2"/>
  <c r="B9" i="2"/>
  <c r="A9" i="2"/>
  <c r="H8" i="2"/>
  <c r="F8" i="2"/>
  <c r="K11" i="2" s="1"/>
  <c r="M11" i="2" s="1"/>
  <c r="N11" i="2" s="1"/>
  <c r="D8" i="2"/>
  <c r="C8" i="2"/>
  <c r="B8" i="2"/>
  <c r="A8" i="2"/>
  <c r="H7" i="2"/>
  <c r="F7" i="2"/>
  <c r="K10" i="2" s="1"/>
  <c r="M10" i="2" s="1"/>
  <c r="N10" i="2" s="1"/>
  <c r="E7" i="2"/>
  <c r="D7" i="2"/>
  <c r="C7" i="2"/>
  <c r="B7" i="2"/>
  <c r="A7" i="2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B32" i="1"/>
  <c r="A361" i="4" s="1"/>
  <c r="K31" i="1"/>
  <c r="B31" i="1"/>
  <c r="K30" i="1"/>
  <c r="B30" i="1"/>
  <c r="K29" i="1"/>
  <c r="B29" i="1"/>
  <c r="K28" i="1"/>
  <c r="B28" i="1"/>
  <c r="K27" i="1"/>
  <c r="B27" i="1"/>
  <c r="K26" i="1"/>
  <c r="B26" i="1"/>
  <c r="K25" i="1"/>
  <c r="B25" i="1"/>
  <c r="K24" i="1"/>
  <c r="B24" i="1"/>
  <c r="K23" i="1"/>
  <c r="B23" i="1"/>
  <c r="K22" i="1"/>
  <c r="B22" i="1"/>
  <c r="K21" i="1"/>
  <c r="B21" i="1"/>
  <c r="K20" i="1"/>
  <c r="B20" i="1"/>
  <c r="K19" i="1"/>
  <c r="B19" i="1"/>
  <c r="K18" i="1"/>
  <c r="B18" i="1"/>
  <c r="K17" i="1"/>
  <c r="B17" i="1"/>
  <c r="K16" i="1"/>
  <c r="B16" i="1"/>
  <c r="K15" i="1"/>
  <c r="B15" i="1"/>
  <c r="K14" i="1"/>
  <c r="B14" i="1"/>
  <c r="K13" i="1"/>
  <c r="B13" i="1"/>
  <c r="K12" i="1"/>
  <c r="B12" i="1"/>
  <c r="K11" i="1"/>
  <c r="B11" i="1"/>
  <c r="K10" i="1"/>
  <c r="B10" i="1"/>
  <c r="K9" i="1"/>
  <c r="B9" i="1"/>
  <c r="K8" i="1"/>
  <c r="B8" i="1"/>
  <c r="K7" i="1"/>
  <c r="B7" i="1"/>
  <c r="K6" i="1"/>
  <c r="B6" i="1"/>
  <c r="K5" i="1"/>
  <c r="B5" i="1"/>
  <c r="K4" i="1"/>
  <c r="B4" i="1"/>
  <c r="K3" i="1"/>
  <c r="B3" i="1"/>
  <c r="J2" i="1"/>
  <c r="B2" i="1"/>
  <c r="A1" i="4" s="1"/>
  <c r="O3" i="3" l="1"/>
  <c r="G3" i="1"/>
  <c r="G7" i="2"/>
  <c r="D7" i="4"/>
  <c r="J3" i="1" l="1"/>
  <c r="E8" i="2"/>
  <c r="I4" i="3"/>
  <c r="D18" i="4"/>
  <c r="G4" i="1" l="1"/>
  <c r="G8" i="2"/>
  <c r="O4" i="3"/>
  <c r="D19" i="4"/>
  <c r="J4" i="1" l="1"/>
  <c r="E9" i="2"/>
  <c r="I5" i="3"/>
  <c r="D30" i="4"/>
  <c r="G9" i="2" l="1"/>
  <c r="G5" i="1"/>
  <c r="O5" i="3"/>
  <c r="D31" i="4"/>
  <c r="J5" i="1" l="1"/>
  <c r="I6" i="3"/>
  <c r="E10" i="2"/>
  <c r="D42" i="4"/>
  <c r="O6" i="3" l="1"/>
  <c r="D43" i="4"/>
  <c r="G6" i="1"/>
  <c r="G10" i="2"/>
  <c r="D54" i="4" l="1"/>
  <c r="E11" i="2"/>
  <c r="J6" i="1"/>
  <c r="I7" i="3"/>
  <c r="O7" i="3" l="1"/>
  <c r="G7" i="1"/>
  <c r="G11" i="2"/>
  <c r="D55" i="4"/>
  <c r="J7" i="1" l="1"/>
  <c r="E12" i="2"/>
  <c r="I8" i="3"/>
  <c r="D66" i="4"/>
  <c r="G12" i="2" l="1"/>
  <c r="G8" i="1"/>
  <c r="D67" i="4"/>
  <c r="O8" i="3"/>
  <c r="J8" i="1" l="1"/>
  <c r="I9" i="3"/>
  <c r="D78" i="4"/>
  <c r="E13" i="2"/>
  <c r="O9" i="3" l="1"/>
  <c r="D79" i="4"/>
  <c r="G9" i="1"/>
  <c r="G13" i="2"/>
  <c r="J9" i="1" l="1"/>
  <c r="E14" i="2"/>
  <c r="D90" i="4"/>
  <c r="I10" i="3"/>
  <c r="G10" i="1" l="1"/>
  <c r="G14" i="2"/>
  <c r="O10" i="3"/>
  <c r="D91" i="4"/>
  <c r="J10" i="1" l="1"/>
  <c r="E15" i="2"/>
  <c r="I11" i="3"/>
  <c r="D102" i="4"/>
  <c r="G15" i="2" l="1"/>
  <c r="G11" i="1"/>
  <c r="O11" i="3"/>
  <c r="D103" i="4"/>
  <c r="J11" i="1" l="1"/>
  <c r="I12" i="3"/>
  <c r="E16" i="2"/>
  <c r="D114" i="4"/>
  <c r="O12" i="3" l="1"/>
  <c r="D115" i="4"/>
  <c r="G12" i="1"/>
  <c r="G16" i="2"/>
  <c r="J12" i="1" l="1"/>
  <c r="E17" i="2"/>
  <c r="I13" i="3"/>
  <c r="D126" i="4"/>
  <c r="G13" i="1" l="1"/>
  <c r="G17" i="2"/>
  <c r="O13" i="3"/>
  <c r="D127" i="4"/>
  <c r="J13" i="1" l="1"/>
  <c r="E18" i="2"/>
  <c r="I14" i="3"/>
  <c r="D138" i="4"/>
  <c r="G14" i="1" l="1"/>
  <c r="G18" i="2"/>
  <c r="O14" i="3"/>
  <c r="D139" i="4"/>
  <c r="E19" i="2" l="1"/>
  <c r="J14" i="1"/>
  <c r="D150" i="4"/>
  <c r="I15" i="3"/>
  <c r="O15" i="3" l="1"/>
  <c r="G15" i="1"/>
  <c r="D151" i="4"/>
  <c r="G19" i="2"/>
  <c r="J15" i="1" l="1"/>
  <c r="D162" i="4"/>
  <c r="E20" i="2"/>
  <c r="I16" i="3"/>
  <c r="G16" i="1" l="1"/>
  <c r="G20" i="2"/>
  <c r="D163" i="4"/>
  <c r="O16" i="3"/>
  <c r="J16" i="1" l="1"/>
  <c r="E21" i="2"/>
  <c r="D174" i="4"/>
  <c r="I17" i="3"/>
  <c r="G17" i="1" l="1"/>
  <c r="D175" i="4"/>
  <c r="G21" i="2"/>
  <c r="O17" i="3"/>
  <c r="J17" i="1" l="1"/>
  <c r="E22" i="2"/>
  <c r="I18" i="3"/>
  <c r="D186" i="4"/>
  <c r="G22" i="2" l="1"/>
  <c r="G18" i="1"/>
  <c r="O18" i="3"/>
  <c r="D187" i="4"/>
  <c r="J18" i="1" l="1"/>
  <c r="I19" i="3"/>
  <c r="E23" i="2"/>
  <c r="D198" i="4"/>
  <c r="D199" i="4" l="1"/>
  <c r="O19" i="3"/>
  <c r="G19" i="1"/>
  <c r="G23" i="2"/>
  <c r="J19" i="1" l="1"/>
  <c r="D210" i="4"/>
  <c r="E24" i="2"/>
  <c r="I20" i="3"/>
  <c r="G20" i="1" l="1"/>
  <c r="D211" i="4"/>
  <c r="G24" i="2"/>
  <c r="O20" i="3"/>
  <c r="J20" i="1" l="1"/>
  <c r="E25" i="2"/>
  <c r="D222" i="4"/>
  <c r="I21" i="3"/>
  <c r="G21" i="1" l="1"/>
  <c r="D223" i="4"/>
  <c r="G25" i="2"/>
  <c r="O21" i="3"/>
  <c r="J21" i="1" l="1"/>
  <c r="E26" i="2"/>
  <c r="D234" i="4"/>
  <c r="I22" i="3"/>
  <c r="G22" i="1" l="1"/>
  <c r="D235" i="4"/>
  <c r="G26" i="2"/>
  <c r="O22" i="3"/>
  <c r="J22" i="1" l="1"/>
  <c r="E27" i="2"/>
  <c r="I23" i="3"/>
  <c r="D246" i="4"/>
  <c r="G23" i="1" l="1"/>
  <c r="D247" i="4"/>
  <c r="G27" i="2"/>
  <c r="O23" i="3"/>
  <c r="J23" i="1" l="1"/>
  <c r="E28" i="2"/>
  <c r="I24" i="3"/>
  <c r="D258" i="4"/>
  <c r="G24" i="1" l="1"/>
  <c r="G28" i="2"/>
  <c r="O24" i="3"/>
  <c r="D259" i="4"/>
  <c r="J24" i="1" l="1"/>
  <c r="E29" i="2"/>
  <c r="I25" i="3"/>
  <c r="D270" i="4"/>
  <c r="G25" i="1" l="1"/>
  <c r="D271" i="4"/>
  <c r="G29" i="2"/>
  <c r="O25" i="3"/>
  <c r="J25" i="1" l="1"/>
  <c r="E30" i="2"/>
  <c r="I26" i="3"/>
  <c r="D282" i="4"/>
  <c r="G26" i="1" l="1"/>
  <c r="G30" i="2"/>
  <c r="O26" i="3"/>
  <c r="D283" i="4"/>
  <c r="J26" i="1" l="1"/>
  <c r="D294" i="4"/>
  <c r="E31" i="2"/>
  <c r="I27" i="3"/>
  <c r="G27" i="1" l="1"/>
  <c r="D295" i="4"/>
  <c r="G31" i="2"/>
  <c r="O27" i="3"/>
  <c r="J27" i="1" l="1"/>
  <c r="E32" i="2"/>
  <c r="I28" i="3"/>
  <c r="D306" i="4"/>
  <c r="G28" i="1" l="1"/>
  <c r="G32" i="2"/>
  <c r="O28" i="3"/>
  <c r="D307" i="4"/>
  <c r="J28" i="1" l="1"/>
  <c r="E33" i="2"/>
  <c r="I29" i="3"/>
  <c r="D318" i="4"/>
  <c r="G29" i="1" l="1"/>
  <c r="G33" i="2"/>
  <c r="O29" i="3"/>
  <c r="D319" i="4"/>
  <c r="J29" i="1" l="1"/>
  <c r="E34" i="2"/>
  <c r="I30" i="3"/>
  <c r="D330" i="4"/>
  <c r="G30" i="1" l="1"/>
  <c r="G34" i="2"/>
  <c r="O30" i="3"/>
  <c r="D331" i="4"/>
  <c r="J30" i="1" l="1"/>
  <c r="E35" i="2"/>
  <c r="I31" i="3"/>
  <c r="D342" i="4"/>
  <c r="G31" i="1" l="1"/>
  <c r="G35" i="2"/>
  <c r="O31" i="3"/>
  <c r="D343" i="4"/>
  <c r="J31" i="1" l="1"/>
  <c r="E36" i="2"/>
  <c r="I32" i="3"/>
  <c r="D354" i="4"/>
  <c r="G36" i="2" l="1"/>
  <c r="O32" i="3"/>
  <c r="D355" i="4"/>
  <c r="G32" i="1"/>
  <c r="J32" i="1" l="1"/>
  <c r="E37" i="2"/>
  <c r="I33" i="3"/>
  <c r="D366" i="4"/>
  <c r="G37" i="2" l="1"/>
  <c r="O33" i="3"/>
  <c r="D367" i="4"/>
</calcChain>
</file>

<file path=xl/sharedStrings.xml><?xml version="1.0" encoding="utf-8"?>
<sst xmlns="http://schemas.openxmlformats.org/spreadsheetml/2006/main" count="939" uniqueCount="124">
  <si>
    <t>FECHA COMPLETA</t>
  </si>
  <si>
    <t>MES</t>
  </si>
  <si>
    <t>MUNICIPIO</t>
  </si>
  <si>
    <t>POBLADO</t>
  </si>
  <si>
    <t>folio CIIA</t>
  </si>
  <si>
    <t>HORA DE SALIDA</t>
  </si>
  <si>
    <t>KM INICIAL / Km de Salida</t>
  </si>
  <si>
    <t>RECORRIDO</t>
  </si>
  <si>
    <t>HORA DE LLEGADA</t>
  </si>
  <si>
    <t>KM FINAL / Km de Llegada</t>
  </si>
  <si>
    <t>GASTO COMBUSTI</t>
  </si>
  <si>
    <t>Gasolina de Salida</t>
  </si>
  <si>
    <t>Gasolina de Llegada</t>
  </si>
  <si>
    <t>Dotación de Gasolina</t>
  </si>
  <si>
    <t>Oficio Numero</t>
  </si>
  <si>
    <t>Oficio Fecha</t>
  </si>
  <si>
    <t>observaciones</t>
  </si>
  <si>
    <t>Usuario Responsable</t>
  </si>
  <si>
    <t>Áreas de Adscripción</t>
  </si>
  <si>
    <t>Tipo de Vehículo</t>
  </si>
  <si>
    <t>Placas</t>
  </si>
  <si>
    <t>No. De Licencia</t>
  </si>
  <si>
    <t>24/06/2026</t>
  </si>
  <si>
    <t>TOLUCA</t>
  </si>
  <si>
    <t>ZINACANTEPEC-(REPRESENTACIÓN)PENSIÓN</t>
  </si>
  <si>
    <t>09:00</t>
  </si>
  <si>
    <t>19:00</t>
  </si>
  <si>
    <t>1/4</t>
  </si>
  <si>
    <t>VÍCTOR LEONARDO OLMEDO GONZALEZ</t>
  </si>
  <si>
    <t>RESIDENCIA NAUCALPAN</t>
  </si>
  <si>
    <t>NISSAN VERSA</t>
  </si>
  <si>
    <t>MGX-543-A</t>
  </si>
  <si>
    <t>0101P3402484l</t>
  </si>
  <si>
    <t>25/06/2026</t>
  </si>
  <si>
    <t>HUEHUETOCA</t>
  </si>
  <si>
    <t>HUEHUETOCA - SANTIAGO TLALTEPOXCO</t>
  </si>
  <si>
    <t>1/2</t>
  </si>
  <si>
    <t>26/06/2026</t>
  </si>
  <si>
    <t>TULTITLAN-NICOLAS ROMERO</t>
  </si>
  <si>
    <t>SAN FRANCISCO MAGÚ</t>
  </si>
  <si>
    <t>29/06/2026</t>
  </si>
  <si>
    <t>30/06/2026</t>
  </si>
  <si>
    <t>TULTITLAN</t>
  </si>
  <si>
    <t>ZITACUARO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</si>
  <si>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</si>
  <si>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</si>
  <si>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</si>
  <si>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</si>
  <si>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</si>
  <si>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</si>
  <si>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</si>
  <si>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</si>
  <si>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</si>
  <si>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</si>
  <si>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</si>
  <si>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</si>
  <si>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</si>
  <si>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</si>
  <si>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</si>
  <si>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</si>
  <si>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</si>
  <si>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</si>
  <si>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</si>
  <si>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</si>
  <si>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</si>
  <si>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</si>
  <si>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</si>
  <si>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</si>
  <si>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</si>
  <si>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Marca:</t>
  </si>
  <si>
    <t>NISSAN</t>
  </si>
  <si>
    <t>No. Serie:</t>
  </si>
  <si>
    <t>3N1CN8AE2RL860265</t>
  </si>
  <si>
    <t>Resguardante:</t>
  </si>
  <si>
    <t>Tipo:</t>
  </si>
  <si>
    <t>VERSA</t>
  </si>
  <si>
    <t>No. Inventario:</t>
  </si>
  <si>
    <t>Mes:</t>
  </si>
  <si>
    <t>JUNIO</t>
  </si>
  <si>
    <t>Modelo:</t>
  </si>
  <si>
    <t>2024</t>
  </si>
  <si>
    <t>Rendimiento:</t>
  </si>
  <si>
    <t>12</t>
  </si>
  <si>
    <t>km Inicial:</t>
  </si>
  <si>
    <t>23,378.00</t>
  </si>
  <si>
    <t>Placas:</t>
  </si>
  <si>
    <t>Adscripcion:</t>
  </si>
  <si>
    <t>FECHA</t>
  </si>
  <si>
    <t>KM INICIAL</t>
  </si>
  <si>
    <t>KM FINAL</t>
  </si>
  <si>
    <t>TABLA DE CALCULO GASTO DE OMBUSTIBLE (NO SE IMPRIME)</t>
  </si>
  <si>
    <t>RENDIMIENTO SIRMAS</t>
  </si>
  <si>
    <t xml:space="preserve">KM RECORRIDO </t>
  </si>
  <si>
    <t xml:space="preserve">PU COMBUSTIBLE </t>
  </si>
  <si>
    <t xml:space="preserve">LITROS COMBUSTIBLE </t>
  </si>
  <si>
    <t>GASTO COMBUSTIBLE</t>
  </si>
  <si>
    <t>Día</t>
  </si>
  <si>
    <t>Oficio</t>
  </si>
  <si>
    <t>Hora de Salida</t>
  </si>
  <si>
    <t>Km de Salida</t>
  </si>
  <si>
    <t>Hora de Llegada</t>
  </si>
  <si>
    <t>Km de Llegada</t>
  </si>
  <si>
    <t>Firma</t>
  </si>
  <si>
    <t>Numero</t>
  </si>
  <si>
    <t>Fecha</t>
  </si>
  <si>
    <t>v</t>
  </si>
  <si>
    <t>1</t>
  </si>
  <si>
    <t>ÁREA:</t>
  </si>
  <si>
    <t>FECHA:</t>
  </si>
  <si>
    <t>TIPO DE VEHICULO:</t>
  </si>
  <si>
    <t>PLACAS:</t>
  </si>
  <si>
    <t>USUARIO:</t>
  </si>
  <si>
    <t>No. LICENCIA:</t>
  </si>
  <si>
    <t>HORA DE SALIDA:</t>
  </si>
  <si>
    <t>OFICIO:</t>
  </si>
  <si>
    <t>GASOLINA:</t>
  </si>
  <si>
    <t>V    ¼    ½     1/1</t>
  </si>
  <si>
    <t>KM DE SALIDA:</t>
  </si>
  <si>
    <t>HORA DE LLEGADA:</t>
  </si>
  <si>
    <t>KM DE LLEGADA:</t>
  </si>
  <si>
    <t>DOTACIÓN DE VALES:</t>
  </si>
  <si>
    <t>TICKET DE CARGA GASOLINA:</t>
  </si>
  <si>
    <t>OBSERVACIONES:</t>
  </si>
  <si>
    <t>Dotación de Gasolina(LLENAR GASTO DE COMBUSTIBLE)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</si>
</sst>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1" xfId="0" applyFont="1" applyBorder="1"/>
    <xf numFmtId="0" fontId="1" fillId="2" borderId="3" xfId="0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0" fillId="0" borderId="13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3" fontId="0" fillId="4" borderId="3" xfId="0" applyNumberFormat="1" applyFill="1" applyBorder="1"/>
    <xf numFmtId="3" fontId="6" fillId="4" borderId="3" xfId="0" applyNumberFormat="1" applyFont="1" applyFill="1" applyBorder="1"/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0" fillId="4" borderId="3" xfId="0" applyFill="1" applyBorder="1" applyAlignment="1">
      <alignment horizontal="center" vertical="center" wrapText="1"/>
    </xf>
    <xf numFmtId="0" fontId="0" fillId="0" borderId="6" xfId="0" applyBorder="1"/>
    <xf numFmtId="0" fontId="5" fillId="4" borderId="3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3" xfId="0" applyFont="1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14" fontId="2" fillId="0" borderId="13" xfId="0" applyNumberFormat="1" applyFont="1" applyBorder="1" applyAlignment="1">
      <alignment horizontal="center" vertical="center" wrapText="1"/>
    </xf>
    <xf numFmtId="3" fontId="3" fillId="3" borderId="13" xfId="0" applyNumberFormat="1" applyFont="1" applyFill="1" applyBorder="1" applyAlignment="1">
      <alignment horizontal="center" vertical="center"/>
    </xf>
    <xf numFmtId="3" fontId="0" fillId="0" borderId="13" xfId="0" applyNumberFormat="1" applyBorder="1" applyAlignment="1">
      <alignment horizontal="left" vertical="center"/>
    </xf>
    <xf numFmtId="0" fontId="2" fillId="0" borderId="13" xfId="0" applyFont="1" applyBorder="1"/>
    <xf numFmtId="0" fontId="7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2</xdr:col>
      <xdr:colOff>505883</xdr:colOff>
      <xdr:row>45</xdr:row>
      <xdr:rowOff>134938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96139A4-5515-4688-AC54-0F17F9BCAA62}"/>
            </a:ext>
          </a:extLst>
        </xdr:cNvPr>
        <xdr:cNvSpPr txBox="1"/>
      </xdr:nvSpPr>
      <xdr:spPr>
        <a:xfrm>
          <a:off x="0" y="7016750"/>
          <a:ext cx="3702050" cy="12144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Elaboro</a:t>
          </a:r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r>
            <a:rPr lang="es-MX" sz="1100"/>
            <a:t>___________________________________</a:t>
          </a:r>
        </a:p>
        <a:p>
          <a:pPr algn="ctr"/>
          <a:r>
            <a:rPr lang="es-MX" sz="1100" baseline="0"/>
            <a:t>ING. VÍCTOR LEONARDO OLMEDO GONZÁLEZ</a:t>
          </a:r>
        </a:p>
        <a:p>
          <a:pPr algn="ctr"/>
          <a:r>
            <a:rPr lang="es-MX" sz="1100" baseline="0"/>
            <a:t>PROFESIONAL EJECUTIVO</a:t>
          </a:r>
          <a:endParaRPr lang="es-MX" sz="1100"/>
        </a:p>
      </xdr:txBody>
    </xdr:sp>
    <xdr:clientData/>
  </xdr:twoCellAnchor>
  <xdr:twoCellAnchor>
    <xdr:from>
      <xdr:col>2</xdr:col>
      <xdr:colOff>1523999</xdr:colOff>
      <xdr:row>38</xdr:row>
      <xdr:rowOff>116417</xdr:rowOff>
    </xdr:from>
    <xdr:to>
      <xdr:col>4</xdr:col>
      <xdr:colOff>208376</xdr:colOff>
      <xdr:row>46</xdr:row>
      <xdr:rowOff>65456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DB523C3-2609-4B26-A51B-5D96F60E9DEE}"/>
            </a:ext>
          </a:extLst>
        </xdr:cNvPr>
        <xdr:cNvSpPr txBox="1"/>
      </xdr:nvSpPr>
      <xdr:spPr>
        <a:xfrm>
          <a:off x="4720166" y="6953250"/>
          <a:ext cx="2843627" cy="13883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Reviso</a:t>
          </a:r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r>
            <a:rPr lang="es-MX" sz="1100"/>
            <a:t>___________________________________</a:t>
          </a:r>
        </a:p>
        <a:p>
          <a:pPr algn="ctr"/>
          <a:r>
            <a:rPr lang="es-MX" sz="1100"/>
            <a:t>C.</a:t>
          </a:r>
          <a:r>
            <a:rPr lang="es-MX" sz="1100" baseline="0"/>
            <a:t> NANCY SALGADO ANTUNEZ</a:t>
          </a:r>
        </a:p>
        <a:p>
          <a:pPr algn="ctr"/>
          <a:r>
            <a:rPr lang="es-MX" sz="1100" baseline="0"/>
            <a:t>ANALISTA ADMINISTRATIVO</a:t>
          </a:r>
          <a:endParaRPr lang="es-MX" sz="1100"/>
        </a:p>
      </xdr:txBody>
    </xdr:sp>
    <xdr:clientData/>
  </xdr:twoCellAnchor>
  <xdr:twoCellAnchor>
    <xdr:from>
      <xdr:col>4</xdr:col>
      <xdr:colOff>793750</xdr:colOff>
      <xdr:row>38</xdr:row>
      <xdr:rowOff>84667</xdr:rowOff>
    </xdr:from>
    <xdr:to>
      <xdr:col>8</xdr:col>
      <xdr:colOff>275121</xdr:colOff>
      <xdr:row>46</xdr:row>
      <xdr:rowOff>22248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2BBE016-BDF4-4A12-BA38-D3D961B5E05C}"/>
            </a:ext>
          </a:extLst>
        </xdr:cNvPr>
        <xdr:cNvSpPr txBox="1"/>
      </xdr:nvSpPr>
      <xdr:spPr>
        <a:xfrm>
          <a:off x="8149167" y="6921500"/>
          <a:ext cx="5069371" cy="1376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Vo.</a:t>
          </a:r>
          <a:r>
            <a:rPr lang="es-MX" sz="1100" baseline="0"/>
            <a:t> Bo.</a:t>
          </a:r>
          <a:endParaRPr lang="es-MX" sz="1100"/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r>
            <a:rPr lang="es-MX" sz="1100"/>
            <a:t>___________________________________</a:t>
          </a:r>
        </a:p>
        <a:p>
          <a:pPr algn="ctr"/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LIC. ADAN JOSUE JIMENEZ VILLEDA</a:t>
          </a:r>
        </a:p>
        <a:p>
          <a:pPr algn="ctr"/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JEFE DE RESIDENCIA</a:t>
          </a:r>
          <a:endParaRPr lang="es-419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workbookViewId="0">
      <selection activeCell="H8" sqref="H8"/>
    </sheetView>
  </sheetViews>
  <sheetFormatPr baseColWidth="10" defaultColWidth="8.7265625" defaultRowHeight="14.5" x14ac:dyDescent="0.35"/>
  <cols>
    <col min="1" max="2" width="18" style="4" customWidth="1"/>
    <col min="3" max="3" width="25.81640625" bestFit="1" customWidth="1"/>
    <col min="4" max="4" width="37.90625" bestFit="1" customWidth="1"/>
    <col min="5" max="5" width="18" customWidth="1"/>
    <col min="6" max="6" width="18" style="4" customWidth="1"/>
    <col min="7" max="8" width="18" customWidth="1"/>
    <col min="9" max="9" width="18" style="4" customWidth="1"/>
    <col min="10" max="13" width="18" customWidth="1"/>
    <col min="14" max="14" width="25.54296875" bestFit="1" customWidth="1"/>
    <col min="15" max="17" width="18" customWidth="1"/>
    <col min="18" max="18" width="34.36328125" bestFit="1" customWidth="1"/>
    <col min="19" max="19" width="21.6328125" bestFit="1" customWidth="1"/>
    <col min="20" max="20" width="14.6328125" style="4" bestFit="1" customWidth="1"/>
    <col min="21" max="21" width="18" style="4" customWidth="1"/>
    <col min="22" max="22" width="13.36328125" bestFit="1" customWidth="1"/>
  </cols>
  <sheetData>
    <row r="1" spans="1:22" ht="29" customHeight="1" x14ac:dyDescent="0.35">
      <c r="A1" s="17" t="s">
        <v>0</v>
      </c>
      <c r="B1" s="17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123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2" x14ac:dyDescent="0.35">
      <c r="A2" s="10" t="s">
        <v>22</v>
      </c>
      <c r="B2" s="13" t="str">
        <f t="shared" ref="B2:B32" si="0">UPPER(TEXT(A2, "MMMM"))</f>
        <v>JUNIO</v>
      </c>
      <c r="C2" s="11" t="s">
        <v>23</v>
      </c>
      <c r="D2" s="11" t="s">
        <v>24</v>
      </c>
      <c r="E2" s="11"/>
      <c r="F2" s="12" t="s">
        <v>25</v>
      </c>
      <c r="G2" s="13">
        <v>23379</v>
      </c>
      <c r="H2" s="13">
        <v>100</v>
      </c>
      <c r="I2" s="12" t="s">
        <v>26</v>
      </c>
      <c r="J2" s="13">
        <f t="shared" ref="J2:J32" si="1">G2+H2</f>
        <v>23479</v>
      </c>
      <c r="K2" s="11">
        <f>IF(N2="","",N2)</f>
        <v>200</v>
      </c>
      <c r="L2" s="11" t="s">
        <v>27</v>
      </c>
      <c r="M2" s="11" t="s">
        <v>27</v>
      </c>
      <c r="N2" s="13">
        <v>200</v>
      </c>
      <c r="O2" s="11"/>
      <c r="P2" s="11"/>
      <c r="Q2" s="11"/>
      <c r="R2" s="11" t="s">
        <v>28</v>
      </c>
      <c r="S2" s="11" t="s">
        <v>29</v>
      </c>
      <c r="T2" s="11" t="s">
        <v>30</v>
      </c>
      <c r="U2" s="11" t="s">
        <v>31</v>
      </c>
      <c r="V2" s="11" t="s">
        <v>32</v>
      </c>
    </row>
    <row r="3" spans="1:22" x14ac:dyDescent="0.35">
      <c r="A3" s="10" t="s">
        <v>33</v>
      </c>
      <c r="B3" s="13" t="str">
        <f t="shared" si="0"/>
        <v>JUNIO</v>
      </c>
      <c r="C3" s="11" t="s">
        <v>34</v>
      </c>
      <c r="D3" s="11" t="s">
        <v>35</v>
      </c>
      <c r="E3" s="11"/>
      <c r="F3" s="12" t="s">
        <v>25</v>
      </c>
      <c r="G3" s="13">
        <f t="shared" ref="G3:G32" si="2">J2</f>
        <v>23479</v>
      </c>
      <c r="H3" s="13">
        <v>0</v>
      </c>
      <c r="I3" s="12" t="s">
        <v>26</v>
      </c>
      <c r="J3" s="13">
        <f t="shared" si="1"/>
        <v>23479</v>
      </c>
      <c r="K3" s="11">
        <f t="shared" ref="K2:K49" si="3">IF(N3="","",N3)</f>
        <v>300</v>
      </c>
      <c r="L3" s="11" t="s">
        <v>36</v>
      </c>
      <c r="M3" s="11" t="s">
        <v>27</v>
      </c>
      <c r="N3" s="13">
        <v>300</v>
      </c>
      <c r="O3" s="11"/>
      <c r="P3" s="11"/>
      <c r="Q3" s="11"/>
      <c r="R3" s="11" t="s">
        <v>28</v>
      </c>
      <c r="S3" s="11" t="s">
        <v>29</v>
      </c>
      <c r="T3" s="11" t="s">
        <v>30</v>
      </c>
      <c r="U3" s="11" t="s">
        <v>31</v>
      </c>
      <c r="V3" s="11" t="s">
        <v>32</v>
      </c>
    </row>
    <row r="4" spans="1:22" x14ac:dyDescent="0.35">
      <c r="A4" s="10" t="s">
        <v>37</v>
      </c>
      <c r="B4" s="13" t="str">
        <f t="shared" si="0"/>
        <v>JUNIO</v>
      </c>
      <c r="C4" s="11" t="s">
        <v>38</v>
      </c>
      <c r="D4" s="11" t="s">
        <v>39</v>
      </c>
      <c r="E4" s="11"/>
      <c r="F4" s="12" t="s">
        <v>25</v>
      </c>
      <c r="G4" s="13">
        <f t="shared" si="2"/>
        <v>23479</v>
      </c>
      <c r="H4" s="13">
        <v>120</v>
      </c>
      <c r="I4" s="12" t="s">
        <v>26</v>
      </c>
      <c r="J4" s="13">
        <f t="shared" si="1"/>
        <v>23599</v>
      </c>
      <c r="K4" s="13">
        <f t="shared" si="3"/>
        <v>300</v>
      </c>
      <c r="L4" s="11" t="s">
        <v>27</v>
      </c>
      <c r="M4" s="11" t="s">
        <v>27</v>
      </c>
      <c r="N4" s="13">
        <v>300</v>
      </c>
      <c r="O4" s="11"/>
      <c r="P4" s="11"/>
      <c r="Q4" s="11"/>
      <c r="R4" s="11" t="s">
        <v>28</v>
      </c>
      <c r="S4" s="11" t="s">
        <v>29</v>
      </c>
      <c r="T4" s="11" t="s">
        <v>30</v>
      </c>
      <c r="U4" s="11" t="s">
        <v>31</v>
      </c>
      <c r="V4" s="11" t="s">
        <v>32</v>
      </c>
    </row>
    <row r="5" spans="1:22" x14ac:dyDescent="0.35">
      <c r="A5" s="10" t="s">
        <v>40</v>
      </c>
      <c r="B5" s="13" t="str">
        <f t="shared" si="0"/>
        <v>JUNIO</v>
      </c>
      <c r="C5" s="11" t="s">
        <v>23</v>
      </c>
      <c r="D5" s="11" t="s">
        <v>24</v>
      </c>
      <c r="E5" s="11"/>
      <c r="F5" s="12" t="s">
        <v>25</v>
      </c>
      <c r="G5" s="13">
        <f t="shared" si="2"/>
        <v>23599</v>
      </c>
      <c r="H5" s="13">
        <v>200</v>
      </c>
      <c r="I5" s="12" t="s">
        <v>26</v>
      </c>
      <c r="J5" s="13">
        <f t="shared" si="1"/>
        <v>23799</v>
      </c>
      <c r="K5" s="13">
        <f t="shared" si="3"/>
        <v>200</v>
      </c>
      <c r="L5" s="11" t="s">
        <v>27</v>
      </c>
      <c r="M5" s="11" t="s">
        <v>27</v>
      </c>
      <c r="N5" s="13">
        <v>200</v>
      </c>
      <c r="O5" s="11"/>
      <c r="P5" s="11"/>
      <c r="Q5" s="11"/>
      <c r="R5" s="11" t="s">
        <v>28</v>
      </c>
      <c r="S5" s="11" t="s">
        <v>29</v>
      </c>
      <c r="T5" s="11" t="s">
        <v>30</v>
      </c>
      <c r="U5" s="11" t="s">
        <v>31</v>
      </c>
      <c r="V5" s="11" t="s">
        <v>32</v>
      </c>
    </row>
    <row r="6" spans="1:22" x14ac:dyDescent="0.35">
      <c r="A6" s="10" t="s">
        <v>41</v>
      </c>
      <c r="B6" s="13" t="str">
        <f t="shared" si="0"/>
        <v>JUNIO</v>
      </c>
      <c r="C6" s="11" t="s">
        <v>42</v>
      </c>
      <c r="D6" s="15"/>
      <c r="E6" s="11"/>
      <c r="F6" s="12" t="s">
        <v>25</v>
      </c>
      <c r="G6" s="13">
        <f t="shared" si="2"/>
        <v>23799</v>
      </c>
      <c r="H6" s="13">
        <v>50</v>
      </c>
      <c r="I6" s="12" t="s">
        <v>26</v>
      </c>
      <c r="J6" s="13">
        <f t="shared" si="1"/>
        <v>23849</v>
      </c>
      <c r="K6" s="11">
        <f t="shared" si="3"/>
        <v>200</v>
      </c>
      <c r="L6" s="11" t="s">
        <v>27</v>
      </c>
      <c r="M6" s="11" t="s">
        <v>27</v>
      </c>
      <c r="N6" s="13">
        <v>200</v>
      </c>
      <c r="O6" s="11"/>
      <c r="P6" s="11"/>
      <c r="Q6" s="11"/>
      <c r="R6" s="11" t="s">
        <v>28</v>
      </c>
      <c r="S6" s="11" t="s">
        <v>29</v>
      </c>
      <c r="T6" s="11" t="s">
        <v>30</v>
      </c>
      <c r="U6" s="11" t="s">
        <v>31</v>
      </c>
      <c r="V6" s="11" t="s">
        <v>32</v>
      </c>
    </row>
    <row r="7" spans="1:22" x14ac:dyDescent="0.35">
      <c r="A7" s="14">
        <v>46305</v>
      </c>
      <c r="B7" s="13" t="str">
        <f t="shared" si="0"/>
        <v>OCTUBRE</v>
      </c>
      <c r="C7" s="11" t="s">
        <v>43</v>
      </c>
      <c r="D7" s="15"/>
      <c r="E7" s="15"/>
      <c r="F7" s="16" t="s">
        <v>25</v>
      </c>
      <c r="G7" s="13">
        <f t="shared" si="2"/>
        <v>23849</v>
      </c>
      <c r="H7" s="15"/>
      <c r="I7" s="16" t="s">
        <v>26</v>
      </c>
      <c r="J7" s="13">
        <f t="shared" si="1"/>
        <v>23849</v>
      </c>
      <c r="K7" s="15" t="str">
        <f t="shared" si="3"/>
        <v/>
      </c>
      <c r="L7" s="15"/>
      <c r="M7" s="15"/>
      <c r="N7" s="15"/>
      <c r="O7" s="15"/>
      <c r="P7" s="15"/>
      <c r="Q7" s="15"/>
      <c r="R7" s="15" t="s">
        <v>28</v>
      </c>
      <c r="S7" s="15" t="s">
        <v>29</v>
      </c>
      <c r="T7" s="7" t="s">
        <v>30</v>
      </c>
      <c r="U7" s="7" t="s">
        <v>31</v>
      </c>
      <c r="V7" s="15" t="s">
        <v>32</v>
      </c>
    </row>
    <row r="8" spans="1:22" x14ac:dyDescent="0.35">
      <c r="A8" s="14" t="s">
        <v>44</v>
      </c>
      <c r="B8" s="13" t="str">
        <f t="shared" si="0"/>
        <v>JULIO</v>
      </c>
      <c r="C8" s="15"/>
      <c r="D8" s="15"/>
      <c r="E8" s="15"/>
      <c r="F8" s="16" t="s">
        <v>25</v>
      </c>
      <c r="G8" s="13">
        <f t="shared" si="2"/>
        <v>23849</v>
      </c>
      <c r="H8" s="15"/>
      <c r="I8" s="16" t="s">
        <v>26</v>
      </c>
      <c r="J8" s="13">
        <f t="shared" si="1"/>
        <v>23849</v>
      </c>
      <c r="K8" s="15" t="str">
        <f t="shared" si="3"/>
        <v/>
      </c>
      <c r="L8" s="15"/>
      <c r="M8" s="15"/>
      <c r="N8" s="15"/>
      <c r="O8" s="15"/>
      <c r="P8" s="15"/>
      <c r="Q8" s="15"/>
      <c r="R8" s="15" t="s">
        <v>28</v>
      </c>
      <c r="S8" s="15" t="s">
        <v>29</v>
      </c>
      <c r="T8" s="7" t="s">
        <v>30</v>
      </c>
      <c r="U8" s="7" t="s">
        <v>31</v>
      </c>
      <c r="V8" s="15" t="s">
        <v>32</v>
      </c>
    </row>
    <row r="9" spans="1:22" x14ac:dyDescent="0.35">
      <c r="A9" s="14" t="s">
        <v>45</v>
      </c>
      <c r="B9" s="13" t="str">
        <f t="shared" si="0"/>
        <v>JULIO</v>
      </c>
      <c r="C9" s="15"/>
      <c r="D9" s="15"/>
      <c r="E9" s="15"/>
      <c r="F9" s="16" t="s">
        <v>25</v>
      </c>
      <c r="G9" s="13">
        <f t="shared" si="2"/>
        <v>23849</v>
      </c>
      <c r="H9" s="15"/>
      <c r="I9" s="16" t="s">
        <v>26</v>
      </c>
      <c r="J9" s="13">
        <f t="shared" si="1"/>
        <v>23849</v>
      </c>
      <c r="K9" s="15" t="str">
        <f t="shared" si="3"/>
        <v/>
      </c>
      <c r="L9" s="15"/>
      <c r="M9" s="15"/>
      <c r="N9" s="15"/>
      <c r="O9" s="15"/>
      <c r="P9" s="15"/>
      <c r="Q9" s="15"/>
      <c r="R9" s="15" t="s">
        <v>28</v>
      </c>
      <c r="S9" s="15" t="s">
        <v>29</v>
      </c>
      <c r="T9" s="7" t="s">
        <v>30</v>
      </c>
      <c r="U9" s="7" t="s">
        <v>31</v>
      </c>
      <c r="V9" s="15" t="s">
        <v>32</v>
      </c>
    </row>
    <row r="10" spans="1:22" x14ac:dyDescent="0.35">
      <c r="A10" s="14" t="s">
        <v>46</v>
      </c>
      <c r="B10" s="13" t="str">
        <f t="shared" si="0"/>
        <v>JULIO</v>
      </c>
      <c r="C10" s="15"/>
      <c r="D10" s="15"/>
      <c r="E10" s="15"/>
      <c r="F10" s="16" t="s">
        <v>25</v>
      </c>
      <c r="G10" s="13">
        <f t="shared" si="2"/>
        <v>23849</v>
      </c>
      <c r="H10" s="15"/>
      <c r="I10" s="16" t="s">
        <v>26</v>
      </c>
      <c r="J10" s="13">
        <f t="shared" si="1"/>
        <v>23849</v>
      </c>
      <c r="K10" s="15" t="str">
        <f t="shared" si="3"/>
        <v/>
      </c>
      <c r="L10" s="15"/>
      <c r="M10" s="15"/>
      <c r="N10" s="15"/>
      <c r="O10" s="15"/>
      <c r="P10" s="15"/>
      <c r="Q10" s="15"/>
      <c r="R10" s="15" t="s">
        <v>28</v>
      </c>
      <c r="S10" s="15" t="s">
        <v>29</v>
      </c>
      <c r="T10" s="7" t="s">
        <v>30</v>
      </c>
      <c r="U10" s="7" t="s">
        <v>31</v>
      </c>
      <c r="V10" s="15" t="s">
        <v>32</v>
      </c>
    </row>
    <row r="11" spans="1:22" x14ac:dyDescent="0.35">
      <c r="A11" s="14" t="s">
        <v>47</v>
      </c>
      <c r="B11" s="13" t="str">
        <f t="shared" si="0"/>
        <v>JULIO</v>
      </c>
      <c r="C11" s="15"/>
      <c r="D11" s="15"/>
      <c r="E11" s="15"/>
      <c r="F11" s="16" t="s">
        <v>25</v>
      </c>
      <c r="G11" s="13">
        <f t="shared" si="2"/>
        <v>23849</v>
      </c>
      <c r="H11" s="15"/>
      <c r="I11" s="16" t="s">
        <v>26</v>
      </c>
      <c r="J11" s="13">
        <f t="shared" si="1"/>
        <v>23849</v>
      </c>
      <c r="K11" s="15" t="str">
        <f t="shared" si="3"/>
        <v/>
      </c>
      <c r="L11" s="15"/>
      <c r="M11" s="15"/>
      <c r="N11" s="15"/>
      <c r="O11" s="15"/>
      <c r="P11" s="15"/>
      <c r="Q11" s="15"/>
      <c r="R11" s="15" t="s">
        <v>28</v>
      </c>
      <c r="S11" s="15" t="s">
        <v>29</v>
      </c>
      <c r="T11" s="7" t="s">
        <v>30</v>
      </c>
      <c r="U11" s="7" t="s">
        <v>31</v>
      </c>
      <c r="V11" s="15" t="s">
        <v>32</v>
      </c>
    </row>
    <row r="12" spans="1:22" x14ac:dyDescent="0.35">
      <c r="A12" s="14" t="s">
        <v>48</v>
      </c>
      <c r="B12" s="13" t="str">
        <f t="shared" si="0"/>
        <v>JULIO</v>
      </c>
      <c r="C12" s="15"/>
      <c r="D12" s="15"/>
      <c r="E12" s="15"/>
      <c r="F12" s="16" t="s">
        <v>25</v>
      </c>
      <c r="G12" s="13">
        <f t="shared" si="2"/>
        <v>23849</v>
      </c>
      <c r="H12" s="15"/>
      <c r="I12" s="16" t="s">
        <v>26</v>
      </c>
      <c r="J12" s="13">
        <f t="shared" si="1"/>
        <v>23849</v>
      </c>
      <c r="K12" s="15" t="str">
        <f t="shared" si="3"/>
        <v/>
      </c>
      <c r="L12" s="15"/>
      <c r="M12" s="15"/>
      <c r="N12" s="15"/>
      <c r="O12" s="15"/>
      <c r="P12" s="15"/>
      <c r="Q12" s="15"/>
      <c r="R12" s="15" t="s">
        <v>28</v>
      </c>
      <c r="S12" s="15" t="s">
        <v>29</v>
      </c>
      <c r="T12" s="7" t="s">
        <v>30</v>
      </c>
      <c r="U12" s="7" t="s">
        <v>31</v>
      </c>
      <c r="V12" s="15" t="s">
        <v>32</v>
      </c>
    </row>
    <row r="13" spans="1:22" x14ac:dyDescent="0.35">
      <c r="A13" s="14" t="s">
        <v>49</v>
      </c>
      <c r="B13" s="13" t="str">
        <f t="shared" si="0"/>
        <v>JULIO</v>
      </c>
      <c r="C13" s="15"/>
      <c r="D13" s="15"/>
      <c r="E13" s="15"/>
      <c r="F13" s="16" t="s">
        <v>25</v>
      </c>
      <c r="G13" s="13">
        <f t="shared" si="2"/>
        <v>23849</v>
      </c>
      <c r="H13" s="15"/>
      <c r="I13" s="16" t="s">
        <v>26</v>
      </c>
      <c r="J13" s="13">
        <f t="shared" si="1"/>
        <v>23849</v>
      </c>
      <c r="K13" s="15" t="str">
        <f t="shared" si="3"/>
        <v/>
      </c>
      <c r="L13" s="15"/>
      <c r="M13" s="15"/>
      <c r="N13" s="15"/>
      <c r="O13" s="15"/>
      <c r="P13" s="15"/>
      <c r="Q13" s="15"/>
      <c r="R13" s="15" t="s">
        <v>28</v>
      </c>
      <c r="S13" s="15" t="s">
        <v>29</v>
      </c>
      <c r="T13" s="7" t="s">
        <v>30</v>
      </c>
      <c r="U13" s="7" t="s">
        <v>31</v>
      </c>
      <c r="V13" s="15" t="s">
        <v>32</v>
      </c>
    </row>
    <row r="14" spans="1:22" x14ac:dyDescent="0.35">
      <c r="A14" s="14" t="s">
        <v>50</v>
      </c>
      <c r="B14" s="13" t="str">
        <f t="shared" si="0"/>
        <v>JULIO</v>
      </c>
      <c r="C14" s="15"/>
      <c r="D14" s="15"/>
      <c r="E14" s="15"/>
      <c r="F14" s="16" t="s">
        <v>25</v>
      </c>
      <c r="G14" s="13">
        <f t="shared" si="2"/>
        <v>23849</v>
      </c>
      <c r="H14" s="15"/>
      <c r="I14" s="16" t="s">
        <v>26</v>
      </c>
      <c r="J14" s="13">
        <f t="shared" si="1"/>
        <v>23849</v>
      </c>
      <c r="K14" s="15" t="str">
        <f t="shared" si="3"/>
        <v/>
      </c>
      <c r="L14" s="15"/>
      <c r="M14" s="15"/>
      <c r="N14" s="15"/>
      <c r="O14" s="15"/>
      <c r="P14" s="15"/>
      <c r="Q14" s="15"/>
      <c r="R14" s="15" t="s">
        <v>28</v>
      </c>
      <c r="S14" s="15" t="s">
        <v>29</v>
      </c>
      <c r="T14" s="7" t="s">
        <v>30</v>
      </c>
      <c r="U14" s="7" t="s">
        <v>31</v>
      </c>
      <c r="V14" s="15" t="s">
        <v>32</v>
      </c>
    </row>
    <row r="15" spans="1:22" x14ac:dyDescent="0.35">
      <c r="A15" s="14" t="s">
        <v>51</v>
      </c>
      <c r="B15" s="13" t="str">
        <f t="shared" si="0"/>
        <v>JULIO</v>
      </c>
      <c r="C15" s="15"/>
      <c r="D15" s="15"/>
      <c r="E15" s="15"/>
      <c r="F15" s="16" t="s">
        <v>25</v>
      </c>
      <c r="G15" s="13">
        <f t="shared" si="2"/>
        <v>23849</v>
      </c>
      <c r="H15" s="15"/>
      <c r="I15" s="16" t="s">
        <v>26</v>
      </c>
      <c r="J15" s="13">
        <f t="shared" si="1"/>
        <v>23849</v>
      </c>
      <c r="K15" s="15" t="str">
        <f t="shared" si="3"/>
        <v/>
      </c>
      <c r="L15" s="15"/>
      <c r="M15" s="15"/>
      <c r="N15" s="15"/>
      <c r="O15" s="15"/>
      <c r="P15" s="15"/>
      <c r="Q15" s="15"/>
      <c r="R15" s="15" t="s">
        <v>28</v>
      </c>
      <c r="S15" s="15" t="s">
        <v>29</v>
      </c>
      <c r="T15" s="7" t="s">
        <v>30</v>
      </c>
      <c r="U15" s="7" t="s">
        <v>31</v>
      </c>
      <c r="V15" s="15" t="s">
        <v>32</v>
      </c>
    </row>
    <row r="16" spans="1:22" x14ac:dyDescent="0.35">
      <c r="A16" s="14" t="s">
        <v>52</v>
      </c>
      <c r="B16" s="13" t="str">
        <f t="shared" si="0"/>
        <v>JULIO</v>
      </c>
      <c r="C16" s="15"/>
      <c r="D16" s="15"/>
      <c r="E16" s="15"/>
      <c r="F16" s="16" t="s">
        <v>25</v>
      </c>
      <c r="G16" s="13">
        <f t="shared" si="2"/>
        <v>23849</v>
      </c>
      <c r="H16" s="15"/>
      <c r="I16" s="16" t="s">
        <v>26</v>
      </c>
      <c r="J16" s="13">
        <f t="shared" si="1"/>
        <v>23849</v>
      </c>
      <c r="K16" s="15" t="str">
        <f t="shared" si="3"/>
        <v/>
      </c>
      <c r="L16" s="15"/>
      <c r="M16" s="15"/>
      <c r="N16" s="15"/>
      <c r="O16" s="15"/>
      <c r="P16" s="15"/>
      <c r="Q16" s="15"/>
      <c r="R16" s="15" t="s">
        <v>28</v>
      </c>
      <c r="S16" s="15" t="s">
        <v>29</v>
      </c>
      <c r="T16" s="7" t="s">
        <v>30</v>
      </c>
      <c r="U16" s="7" t="s">
        <v>31</v>
      </c>
      <c r="V16" s="15" t="s">
        <v>32</v>
      </c>
    </row>
    <row r="17" spans="1:22" x14ac:dyDescent="0.35">
      <c r="A17" s="14" t="s">
        <v>53</v>
      </c>
      <c r="B17" s="13" t="str">
        <f t="shared" si="0"/>
        <v>JULIO</v>
      </c>
      <c r="C17" s="15"/>
      <c r="D17" s="15"/>
      <c r="E17" s="15"/>
      <c r="F17" s="16" t="s">
        <v>25</v>
      </c>
      <c r="G17" s="13">
        <f t="shared" si="2"/>
        <v>23849</v>
      </c>
      <c r="H17" s="15"/>
      <c r="I17" s="16" t="s">
        <v>26</v>
      </c>
      <c r="J17" s="13">
        <f t="shared" si="1"/>
        <v>23849</v>
      </c>
      <c r="K17" s="15" t="str">
        <f t="shared" si="3"/>
        <v/>
      </c>
      <c r="L17" s="15"/>
      <c r="M17" s="15"/>
      <c r="N17" s="15"/>
      <c r="O17" s="15"/>
      <c r="P17" s="15"/>
      <c r="Q17" s="15"/>
      <c r="R17" s="15" t="s">
        <v>28</v>
      </c>
      <c r="S17" s="15" t="s">
        <v>29</v>
      </c>
      <c r="T17" s="7" t="s">
        <v>30</v>
      </c>
      <c r="U17" s="7" t="s">
        <v>31</v>
      </c>
      <c r="V17" s="15" t="s">
        <v>32</v>
      </c>
    </row>
    <row r="18" spans="1:22" x14ac:dyDescent="0.35">
      <c r="A18" s="14" t="s">
        <v>54</v>
      </c>
      <c r="B18" s="13" t="str">
        <f t="shared" si="0"/>
        <v>JULIO</v>
      </c>
      <c r="C18" s="15"/>
      <c r="D18" s="15"/>
      <c r="E18" s="15"/>
      <c r="F18" s="16" t="s">
        <v>25</v>
      </c>
      <c r="G18" s="13">
        <f t="shared" si="2"/>
        <v>23849</v>
      </c>
      <c r="H18" s="15"/>
      <c r="I18" s="16" t="s">
        <v>26</v>
      </c>
      <c r="J18" s="13">
        <f t="shared" si="1"/>
        <v>23849</v>
      </c>
      <c r="K18" s="15" t="str">
        <f t="shared" si="3"/>
        <v/>
      </c>
      <c r="L18" s="15"/>
      <c r="M18" s="15"/>
      <c r="N18" s="15"/>
      <c r="O18" s="15"/>
      <c r="P18" s="15"/>
      <c r="Q18" s="15"/>
      <c r="R18" s="15" t="s">
        <v>28</v>
      </c>
      <c r="S18" s="15" t="s">
        <v>29</v>
      </c>
      <c r="T18" s="7" t="s">
        <v>30</v>
      </c>
      <c r="U18" s="7" t="s">
        <v>31</v>
      </c>
      <c r="V18" s="15" t="s">
        <v>32</v>
      </c>
    </row>
    <row r="19" spans="1:22" x14ac:dyDescent="0.35">
      <c r="A19" s="14" t="s">
        <v>55</v>
      </c>
      <c r="B19" s="13" t="str">
        <f t="shared" si="0"/>
        <v>JULIO</v>
      </c>
      <c r="C19" s="15"/>
      <c r="D19" s="15"/>
      <c r="E19" s="15"/>
      <c r="F19" s="16" t="s">
        <v>25</v>
      </c>
      <c r="G19" s="13">
        <f t="shared" si="2"/>
        <v>23849</v>
      </c>
      <c r="H19" s="15"/>
      <c r="I19" s="16" t="s">
        <v>26</v>
      </c>
      <c r="J19" s="13">
        <f t="shared" si="1"/>
        <v>23849</v>
      </c>
      <c r="K19" s="15" t="str">
        <f t="shared" si="3"/>
        <v/>
      </c>
      <c r="L19" s="15"/>
      <c r="M19" s="15"/>
      <c r="N19" s="15"/>
      <c r="O19" s="15"/>
      <c r="P19" s="15"/>
      <c r="Q19" s="15"/>
      <c r="R19" s="15" t="s">
        <v>28</v>
      </c>
      <c r="S19" s="15" t="s">
        <v>29</v>
      </c>
      <c r="T19" s="7" t="s">
        <v>30</v>
      </c>
      <c r="U19" s="7" t="s">
        <v>31</v>
      </c>
      <c r="V19" s="15" t="s">
        <v>32</v>
      </c>
    </row>
    <row r="20" spans="1:22" x14ac:dyDescent="0.35">
      <c r="A20" s="14" t="s">
        <v>56</v>
      </c>
      <c r="B20" s="13" t="str">
        <f t="shared" si="0"/>
        <v>JULIO</v>
      </c>
      <c r="C20" s="15"/>
      <c r="D20" s="15"/>
      <c r="E20" s="15"/>
      <c r="F20" s="16" t="s">
        <v>25</v>
      </c>
      <c r="G20" s="13">
        <f t="shared" si="2"/>
        <v>23849</v>
      </c>
      <c r="H20" s="15"/>
      <c r="I20" s="16" t="s">
        <v>26</v>
      </c>
      <c r="J20" s="13">
        <f t="shared" si="1"/>
        <v>23849</v>
      </c>
      <c r="K20" s="15" t="str">
        <f t="shared" si="3"/>
        <v/>
      </c>
      <c r="L20" s="15"/>
      <c r="M20" s="15"/>
      <c r="N20" s="15"/>
      <c r="O20" s="15"/>
      <c r="P20" s="15"/>
      <c r="Q20" s="15"/>
      <c r="R20" s="15" t="s">
        <v>28</v>
      </c>
      <c r="S20" s="15" t="s">
        <v>29</v>
      </c>
      <c r="T20" s="7" t="s">
        <v>30</v>
      </c>
      <c r="U20" s="7" t="s">
        <v>31</v>
      </c>
      <c r="V20" s="15" t="s">
        <v>32</v>
      </c>
    </row>
    <row r="21" spans="1:22" x14ac:dyDescent="0.35">
      <c r="A21" s="14" t="s">
        <v>57</v>
      </c>
      <c r="B21" s="13" t="str">
        <f t="shared" si="0"/>
        <v>JULIO</v>
      </c>
      <c r="C21" s="15"/>
      <c r="D21" s="15"/>
      <c r="E21" s="15"/>
      <c r="F21" s="16" t="s">
        <v>25</v>
      </c>
      <c r="G21" s="13">
        <f t="shared" si="2"/>
        <v>23849</v>
      </c>
      <c r="H21" s="15"/>
      <c r="I21" s="16" t="s">
        <v>26</v>
      </c>
      <c r="J21" s="13">
        <f t="shared" si="1"/>
        <v>23849</v>
      </c>
      <c r="K21" s="15" t="str">
        <f t="shared" si="3"/>
        <v/>
      </c>
      <c r="L21" s="15"/>
      <c r="M21" s="15"/>
      <c r="N21" s="15"/>
      <c r="O21" s="15"/>
      <c r="P21" s="15"/>
      <c r="Q21" s="15"/>
      <c r="R21" s="15" t="s">
        <v>28</v>
      </c>
      <c r="S21" s="15" t="s">
        <v>29</v>
      </c>
      <c r="T21" s="7" t="s">
        <v>30</v>
      </c>
      <c r="U21" s="7" t="s">
        <v>31</v>
      </c>
      <c r="V21" s="15" t="s">
        <v>32</v>
      </c>
    </row>
    <row r="22" spans="1:22" x14ac:dyDescent="0.35">
      <c r="A22" s="14" t="s">
        <v>58</v>
      </c>
      <c r="B22" s="13" t="str">
        <f t="shared" si="0"/>
        <v>JULIO</v>
      </c>
      <c r="C22" s="15"/>
      <c r="D22" s="15"/>
      <c r="E22" s="15"/>
      <c r="F22" s="16" t="s">
        <v>25</v>
      </c>
      <c r="G22" s="13">
        <f t="shared" si="2"/>
        <v>23849</v>
      </c>
      <c r="H22" s="15"/>
      <c r="I22" s="16" t="s">
        <v>26</v>
      </c>
      <c r="J22" s="13">
        <f t="shared" si="1"/>
        <v>23849</v>
      </c>
      <c r="K22" s="15" t="str">
        <f t="shared" si="3"/>
        <v/>
      </c>
      <c r="L22" s="15"/>
      <c r="M22" s="15"/>
      <c r="N22" s="15"/>
      <c r="O22" s="15"/>
      <c r="P22" s="15"/>
      <c r="Q22" s="15"/>
      <c r="R22" s="15" t="s">
        <v>28</v>
      </c>
      <c r="S22" s="15" t="s">
        <v>29</v>
      </c>
      <c r="T22" s="7" t="s">
        <v>30</v>
      </c>
      <c r="U22" s="7" t="s">
        <v>31</v>
      </c>
      <c r="V22" s="15" t="s">
        <v>32</v>
      </c>
    </row>
    <row r="23" spans="1:22" x14ac:dyDescent="0.35">
      <c r="A23" s="14" t="s">
        <v>59</v>
      </c>
      <c r="B23" s="13" t="str">
        <f t="shared" si="0"/>
        <v>JULIO</v>
      </c>
      <c r="C23" s="15"/>
      <c r="D23" s="15"/>
      <c r="E23" s="15"/>
      <c r="F23" s="16" t="s">
        <v>25</v>
      </c>
      <c r="G23" s="13">
        <f t="shared" si="2"/>
        <v>23849</v>
      </c>
      <c r="H23" s="15"/>
      <c r="I23" s="16" t="s">
        <v>26</v>
      </c>
      <c r="J23" s="13">
        <f t="shared" si="1"/>
        <v>23849</v>
      </c>
      <c r="K23" s="15" t="str">
        <f t="shared" si="3"/>
        <v/>
      </c>
      <c r="L23" s="15"/>
      <c r="M23" s="15"/>
      <c r="N23" s="15"/>
      <c r="O23" s="15"/>
      <c r="P23" s="15"/>
      <c r="Q23" s="15"/>
      <c r="R23" s="15" t="s">
        <v>28</v>
      </c>
      <c r="S23" s="15" t="s">
        <v>29</v>
      </c>
      <c r="T23" s="7" t="s">
        <v>30</v>
      </c>
      <c r="U23" s="7" t="s">
        <v>31</v>
      </c>
      <c r="V23" s="15" t="s">
        <v>32</v>
      </c>
    </row>
    <row r="24" spans="1:22" x14ac:dyDescent="0.35">
      <c r="A24" s="14" t="s">
        <v>60</v>
      </c>
      <c r="B24" s="13" t="str">
        <f t="shared" si="0"/>
        <v>JULIO</v>
      </c>
      <c r="C24" s="15"/>
      <c r="D24" s="15"/>
      <c r="E24" s="15"/>
      <c r="F24" s="16" t="s">
        <v>25</v>
      </c>
      <c r="G24" s="13">
        <f t="shared" si="2"/>
        <v>23849</v>
      </c>
      <c r="H24" s="15"/>
      <c r="I24" s="16" t="s">
        <v>26</v>
      </c>
      <c r="J24" s="13">
        <f t="shared" si="1"/>
        <v>23849</v>
      </c>
      <c r="K24" s="15" t="str">
        <f t="shared" si="3"/>
        <v/>
      </c>
      <c r="L24" s="15"/>
      <c r="M24" s="15"/>
      <c r="N24" s="15"/>
      <c r="O24" s="15"/>
      <c r="P24" s="15"/>
      <c r="Q24" s="15"/>
      <c r="R24" s="15" t="s">
        <v>28</v>
      </c>
      <c r="S24" s="15" t="s">
        <v>29</v>
      </c>
      <c r="T24" s="7" t="s">
        <v>30</v>
      </c>
      <c r="U24" s="7" t="s">
        <v>31</v>
      </c>
      <c r="V24" s="15" t="s">
        <v>32</v>
      </c>
    </row>
    <row r="25" spans="1:22" x14ac:dyDescent="0.35">
      <c r="A25" s="14" t="s">
        <v>61</v>
      </c>
      <c r="B25" s="13" t="str">
        <f t="shared" si="0"/>
        <v>JULIO</v>
      </c>
      <c r="C25" s="15"/>
      <c r="D25" s="15"/>
      <c r="E25" s="15"/>
      <c r="F25" s="16" t="s">
        <v>25</v>
      </c>
      <c r="G25" s="13">
        <f t="shared" si="2"/>
        <v>23849</v>
      </c>
      <c r="H25" s="15"/>
      <c r="I25" s="16" t="s">
        <v>26</v>
      </c>
      <c r="J25" s="13">
        <f t="shared" si="1"/>
        <v>23849</v>
      </c>
      <c r="K25" s="15" t="str">
        <f t="shared" si="3"/>
        <v/>
      </c>
      <c r="L25" s="15"/>
      <c r="M25" s="15"/>
      <c r="N25" s="15"/>
      <c r="O25" s="15"/>
      <c r="P25" s="15"/>
      <c r="Q25" s="15"/>
      <c r="R25" s="15" t="s">
        <v>28</v>
      </c>
      <c r="S25" s="15" t="s">
        <v>29</v>
      </c>
      <c r="T25" s="7" t="s">
        <v>30</v>
      </c>
      <c r="U25" s="7" t="s">
        <v>31</v>
      </c>
      <c r="V25" s="15" t="s">
        <v>32</v>
      </c>
    </row>
    <row r="26" spans="1:22" x14ac:dyDescent="0.35">
      <c r="A26" s="14" t="s">
        <v>62</v>
      </c>
      <c r="B26" s="13" t="str">
        <f t="shared" si="0"/>
        <v>JULIO</v>
      </c>
      <c r="C26" s="15"/>
      <c r="D26" s="15"/>
      <c r="E26" s="15"/>
      <c r="F26" s="16" t="s">
        <v>25</v>
      </c>
      <c r="G26" s="13">
        <f t="shared" si="2"/>
        <v>23849</v>
      </c>
      <c r="H26" s="15"/>
      <c r="I26" s="16" t="s">
        <v>26</v>
      </c>
      <c r="J26" s="13">
        <f t="shared" si="1"/>
        <v>23849</v>
      </c>
      <c r="K26" s="15" t="str">
        <f t="shared" si="3"/>
        <v/>
      </c>
      <c r="L26" s="15"/>
      <c r="M26" s="15"/>
      <c r="N26" s="15"/>
      <c r="O26" s="15"/>
      <c r="P26" s="15"/>
      <c r="Q26" s="15"/>
      <c r="R26" s="15" t="s">
        <v>28</v>
      </c>
      <c r="S26" s="15" t="s">
        <v>29</v>
      </c>
      <c r="T26" s="7" t="s">
        <v>30</v>
      </c>
      <c r="U26" s="7" t="s">
        <v>31</v>
      </c>
      <c r="V26" s="15" t="s">
        <v>32</v>
      </c>
    </row>
    <row r="27" spans="1:22" x14ac:dyDescent="0.35">
      <c r="A27" s="14" t="s">
        <v>63</v>
      </c>
      <c r="B27" s="13" t="str">
        <f t="shared" si="0"/>
        <v>JULIO</v>
      </c>
      <c r="C27" s="15"/>
      <c r="D27" s="15"/>
      <c r="E27" s="15"/>
      <c r="F27" s="16" t="s">
        <v>25</v>
      </c>
      <c r="G27" s="13">
        <f t="shared" si="2"/>
        <v>23849</v>
      </c>
      <c r="H27" s="15"/>
      <c r="I27" s="16" t="s">
        <v>26</v>
      </c>
      <c r="J27" s="13">
        <f t="shared" si="1"/>
        <v>23849</v>
      </c>
      <c r="K27" s="15" t="str">
        <f t="shared" si="3"/>
        <v/>
      </c>
      <c r="L27" s="15"/>
      <c r="M27" s="15"/>
      <c r="N27" s="15"/>
      <c r="O27" s="15"/>
      <c r="P27" s="15"/>
      <c r="Q27" s="15"/>
      <c r="R27" s="15" t="s">
        <v>28</v>
      </c>
      <c r="S27" s="15" t="s">
        <v>29</v>
      </c>
      <c r="T27" s="7" t="s">
        <v>30</v>
      </c>
      <c r="U27" s="7" t="s">
        <v>31</v>
      </c>
      <c r="V27" s="15" t="s">
        <v>32</v>
      </c>
    </row>
    <row r="28" spans="1:22" x14ac:dyDescent="0.35">
      <c r="A28" s="14" t="s">
        <v>64</v>
      </c>
      <c r="B28" s="13" t="str">
        <f t="shared" si="0"/>
        <v>JULIO</v>
      </c>
      <c r="C28" s="15"/>
      <c r="D28" s="15"/>
      <c r="E28" s="15"/>
      <c r="F28" s="16" t="s">
        <v>25</v>
      </c>
      <c r="G28" s="13">
        <f t="shared" si="2"/>
        <v>23849</v>
      </c>
      <c r="H28" s="15"/>
      <c r="I28" s="16" t="s">
        <v>26</v>
      </c>
      <c r="J28" s="13">
        <f t="shared" si="1"/>
        <v>23849</v>
      </c>
      <c r="K28" s="15" t="str">
        <f t="shared" si="3"/>
        <v/>
      </c>
      <c r="L28" s="15"/>
      <c r="M28" s="15"/>
      <c r="N28" s="15"/>
      <c r="O28" s="15"/>
      <c r="P28" s="15"/>
      <c r="Q28" s="15"/>
      <c r="R28" s="15" t="s">
        <v>28</v>
      </c>
      <c r="S28" s="15" t="s">
        <v>29</v>
      </c>
      <c r="T28" s="7" t="s">
        <v>30</v>
      </c>
      <c r="U28" s="7" t="s">
        <v>31</v>
      </c>
      <c r="V28" s="15" t="s">
        <v>32</v>
      </c>
    </row>
    <row r="29" spans="1:22" x14ac:dyDescent="0.35">
      <c r="A29" s="14" t="s">
        <v>65</v>
      </c>
      <c r="B29" s="13" t="str">
        <f t="shared" si="0"/>
        <v>JULIO</v>
      </c>
      <c r="C29" s="15"/>
      <c r="D29" s="15"/>
      <c r="E29" s="15"/>
      <c r="F29" s="16" t="s">
        <v>25</v>
      </c>
      <c r="G29" s="13">
        <f t="shared" si="2"/>
        <v>23849</v>
      </c>
      <c r="H29" s="15"/>
      <c r="I29" s="16" t="s">
        <v>26</v>
      </c>
      <c r="J29" s="13">
        <f t="shared" si="1"/>
        <v>23849</v>
      </c>
      <c r="K29" s="15" t="str">
        <f t="shared" si="3"/>
        <v/>
      </c>
      <c r="L29" s="15"/>
      <c r="M29" s="15"/>
      <c r="N29" s="15"/>
      <c r="O29" s="15"/>
      <c r="P29" s="15"/>
      <c r="Q29" s="15"/>
      <c r="R29" s="15" t="s">
        <v>28</v>
      </c>
      <c r="S29" s="15" t="s">
        <v>29</v>
      </c>
      <c r="T29" s="7" t="s">
        <v>30</v>
      </c>
      <c r="U29" s="7" t="s">
        <v>31</v>
      </c>
      <c r="V29" s="15" t="s">
        <v>32</v>
      </c>
    </row>
    <row r="30" spans="1:22" x14ac:dyDescent="0.35">
      <c r="A30" s="14" t="s">
        <v>66</v>
      </c>
      <c r="B30" s="13" t="str">
        <f t="shared" si="0"/>
        <v>JULIO</v>
      </c>
      <c r="C30" s="15"/>
      <c r="D30" s="15"/>
      <c r="E30" s="15"/>
      <c r="F30" s="16" t="s">
        <v>25</v>
      </c>
      <c r="G30" s="13">
        <f t="shared" si="2"/>
        <v>23849</v>
      </c>
      <c r="H30" s="15"/>
      <c r="I30" s="16" t="s">
        <v>26</v>
      </c>
      <c r="J30" s="13">
        <f t="shared" si="1"/>
        <v>23849</v>
      </c>
      <c r="K30" s="15" t="str">
        <f t="shared" si="3"/>
        <v/>
      </c>
      <c r="L30" s="15"/>
      <c r="M30" s="15"/>
      <c r="N30" s="15"/>
      <c r="O30" s="15"/>
      <c r="P30" s="15"/>
      <c r="Q30" s="15"/>
      <c r="R30" s="15" t="s">
        <v>28</v>
      </c>
      <c r="S30" s="15" t="s">
        <v>29</v>
      </c>
      <c r="T30" s="7" t="s">
        <v>30</v>
      </c>
      <c r="U30" s="7" t="s">
        <v>31</v>
      </c>
      <c r="V30" s="15" t="s">
        <v>32</v>
      </c>
    </row>
    <row r="31" spans="1:22" x14ac:dyDescent="0.35">
      <c r="A31" s="14" t="s">
        <v>67</v>
      </c>
      <c r="B31" s="13" t="str">
        <f t="shared" si="0"/>
        <v>JULIO</v>
      </c>
      <c r="C31" s="15"/>
      <c r="D31" s="15"/>
      <c r="E31" s="15"/>
      <c r="F31" s="16" t="s">
        <v>25</v>
      </c>
      <c r="G31" s="13">
        <f t="shared" si="2"/>
        <v>23849</v>
      </c>
      <c r="H31" s="15"/>
      <c r="I31" s="16" t="s">
        <v>26</v>
      </c>
      <c r="J31" s="13">
        <f t="shared" si="1"/>
        <v>23849</v>
      </c>
      <c r="K31" s="15" t="str">
        <f t="shared" si="3"/>
        <v/>
      </c>
      <c r="L31" s="15"/>
      <c r="M31" s="15"/>
      <c r="N31" s="15"/>
      <c r="O31" s="15"/>
      <c r="P31" s="15"/>
      <c r="Q31" s="15"/>
      <c r="R31" s="15" t="s">
        <v>28</v>
      </c>
      <c r="S31" s="15" t="s">
        <v>29</v>
      </c>
      <c r="T31" s="7" t="s">
        <v>30</v>
      </c>
      <c r="U31" s="7" t="s">
        <v>31</v>
      </c>
      <c r="V31" s="15" t="s">
        <v>32</v>
      </c>
    </row>
    <row r="32" spans="1:22" x14ac:dyDescent="0.35">
      <c r="A32" s="14" t="s">
        <v>68</v>
      </c>
      <c r="B32" s="13" t="str">
        <f t="shared" si="0"/>
        <v>JULIO</v>
      </c>
      <c r="C32" s="15"/>
      <c r="D32" s="15"/>
      <c r="E32" s="15"/>
      <c r="F32" s="16" t="s">
        <v>25</v>
      </c>
      <c r="G32" s="13">
        <f t="shared" si="2"/>
        <v>23849</v>
      </c>
      <c r="H32" s="15"/>
      <c r="I32" s="16" t="s">
        <v>26</v>
      </c>
      <c r="J32" s="13">
        <f t="shared" si="1"/>
        <v>23849</v>
      </c>
      <c r="K32" s="15" t="str">
        <f t="shared" si="3"/>
        <v/>
      </c>
      <c r="L32" s="15"/>
      <c r="M32" s="15"/>
      <c r="N32" s="15"/>
      <c r="O32" s="15"/>
      <c r="P32" s="15"/>
      <c r="Q32" s="15"/>
      <c r="R32" s="15" t="s">
        <v>28</v>
      </c>
      <c r="S32" s="15" t="s">
        <v>29</v>
      </c>
      <c r="T32" s="7" t="s">
        <v>30</v>
      </c>
      <c r="U32" s="7" t="s">
        <v>31</v>
      </c>
      <c r="V32" s="15" t="s">
        <v>32</v>
      </c>
    </row>
    <row r="33" spans="11:11" x14ac:dyDescent="0.35">
      <c r="K33" t="str">
        <f t="shared" si="3"/>
        <v/>
      </c>
    </row>
    <row r="34" spans="11:11" x14ac:dyDescent="0.35">
      <c r="K34" t="str">
        <f t="shared" si="3"/>
        <v/>
      </c>
    </row>
    <row r="35" spans="11:11" x14ac:dyDescent="0.35">
      <c r="K35" t="str">
        <f t="shared" si="3"/>
        <v/>
      </c>
    </row>
    <row r="36" spans="11:11" x14ac:dyDescent="0.35">
      <c r="K36" t="str">
        <f t="shared" si="3"/>
        <v/>
      </c>
    </row>
    <row r="37" spans="11:11" x14ac:dyDescent="0.35">
      <c r="K37" t="str">
        <f t="shared" si="3"/>
        <v/>
      </c>
    </row>
    <row r="38" spans="11:11" x14ac:dyDescent="0.35">
      <c r="K38" t="str">
        <f t="shared" si="3"/>
        <v/>
      </c>
    </row>
    <row r="39" spans="11:11" x14ac:dyDescent="0.35">
      <c r="K39" t="str">
        <f t="shared" si="3"/>
        <v/>
      </c>
    </row>
    <row r="40" spans="11:11" x14ac:dyDescent="0.35">
      <c r="K40" t="str">
        <f t="shared" si="3"/>
        <v/>
      </c>
    </row>
    <row r="41" spans="11:11" x14ac:dyDescent="0.35">
      <c r="K41" t="str">
        <f t="shared" si="3"/>
        <v/>
      </c>
    </row>
    <row r="42" spans="11:11" x14ac:dyDescent="0.35">
      <c r="K42" t="str">
        <f t="shared" si="3"/>
        <v/>
      </c>
    </row>
    <row r="43" spans="11:11" x14ac:dyDescent="0.35">
      <c r="K43" t="str">
        <f t="shared" si="3"/>
        <v/>
      </c>
    </row>
    <row r="44" spans="11:11" x14ac:dyDescent="0.35">
      <c r="K44" t="str">
        <f t="shared" si="3"/>
        <v/>
      </c>
    </row>
    <row r="45" spans="11:11" x14ac:dyDescent="0.35">
      <c r="K45" t="str">
        <f t="shared" si="3"/>
        <v/>
      </c>
    </row>
    <row r="46" spans="11:11" x14ac:dyDescent="0.35">
      <c r="K46" t="str">
        <f t="shared" si="3"/>
        <v/>
      </c>
    </row>
    <row r="47" spans="11:11" x14ac:dyDescent="0.35">
      <c r="K47" t="str">
        <f t="shared" si="3"/>
        <v/>
      </c>
    </row>
    <row r="48" spans="11:11" x14ac:dyDescent="0.35">
      <c r="K48" t="str">
        <f t="shared" si="3"/>
        <v/>
      </c>
    </row>
    <row r="49" spans="11:11" x14ac:dyDescent="0.35">
      <c r="K49" t="str">
        <f t="shared" si="3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zoomScale="60" zoomScaleNormal="60" workbookViewId="0">
      <selection activeCell="G40" sqref="G40"/>
    </sheetView>
  </sheetViews>
  <sheetFormatPr baseColWidth="10" defaultColWidth="8.7265625" defaultRowHeight="14.5" x14ac:dyDescent="0.35"/>
  <cols>
    <col min="1" max="1" width="20" customWidth="1"/>
    <col min="2" max="2" width="25.81640625" bestFit="1" customWidth="1"/>
    <col min="3" max="3" width="37.90625" bestFit="1" customWidth="1"/>
    <col min="4" max="4" width="21.7265625" bestFit="1" customWidth="1"/>
    <col min="5" max="8" width="20" customWidth="1"/>
    <col min="11" max="11" width="13.90625" bestFit="1" customWidth="1"/>
    <col min="12" max="12" width="17.36328125" customWidth="1"/>
  </cols>
  <sheetData>
    <row r="1" spans="1:14" x14ac:dyDescent="0.35">
      <c r="A1" s="1" t="s">
        <v>69</v>
      </c>
      <c r="B1" s="1" t="s">
        <v>70</v>
      </c>
      <c r="C1" s="8" t="s">
        <v>71</v>
      </c>
      <c r="D1" s="8" t="s">
        <v>72</v>
      </c>
      <c r="E1" s="3" t="s">
        <v>73</v>
      </c>
      <c r="F1" s="1" t="s">
        <v>28</v>
      </c>
    </row>
    <row r="2" spans="1:14" x14ac:dyDescent="0.35">
      <c r="A2" s="1" t="s">
        <v>74</v>
      </c>
      <c r="B2" s="1" t="s">
        <v>75</v>
      </c>
      <c r="C2" s="1" t="s">
        <v>76</v>
      </c>
      <c r="D2" s="1"/>
      <c r="E2" s="1" t="s">
        <v>77</v>
      </c>
      <c r="F2" s="1" t="s">
        <v>78</v>
      </c>
    </row>
    <row r="3" spans="1:14" x14ac:dyDescent="0.35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</row>
    <row r="4" spans="1:14" x14ac:dyDescent="0.35">
      <c r="A4" s="1" t="s">
        <v>85</v>
      </c>
      <c r="B4" s="1" t="s">
        <v>31</v>
      </c>
      <c r="C4" s="1" t="s">
        <v>86</v>
      </c>
      <c r="D4" s="1" t="s">
        <v>29</v>
      </c>
      <c r="E4" s="1"/>
      <c r="F4" s="1"/>
    </row>
    <row r="6" spans="1:14" ht="14.5" customHeight="1" x14ac:dyDescent="0.35">
      <c r="A6" s="27" t="s">
        <v>87</v>
      </c>
      <c r="B6" s="2" t="s">
        <v>2</v>
      </c>
      <c r="C6" s="2" t="s">
        <v>3</v>
      </c>
      <c r="D6" s="2" t="s">
        <v>4</v>
      </c>
      <c r="E6" s="2" t="s">
        <v>88</v>
      </c>
      <c r="F6" s="2" t="s">
        <v>7</v>
      </c>
      <c r="G6" s="2" t="s">
        <v>89</v>
      </c>
      <c r="H6" s="2" t="s">
        <v>10</v>
      </c>
      <c r="J6" s="32" t="s">
        <v>90</v>
      </c>
      <c r="K6" s="33"/>
      <c r="L6" s="33"/>
      <c r="M6" s="33"/>
      <c r="N6" s="34"/>
    </row>
    <row r="7" spans="1:14" ht="14.5" customHeight="1" x14ac:dyDescent="0.35">
      <c r="A7" s="28" t="str">
        <f>IF(BASE_DE_DATOS!A2="","",BASE_DE_DATOS!A2)</f>
        <v>24/06/2026</v>
      </c>
      <c r="B7" s="20" t="str">
        <f>IF(BASE_DE_DATOS!C2="","",BASE_DE_DATOS!C2)</f>
        <v>TOLUCA</v>
      </c>
      <c r="C7" s="20" t="str">
        <f>IF(BASE_DE_DATOS!D2="","",BASE_DE_DATOS!D2)</f>
        <v>ZINACANTEPEC-(REPRESENTACIÓN)PENSIÓN</v>
      </c>
      <c r="D7" s="20" t="str">
        <f>IF(BASE_DE_DATOS!E2="","",BASE_DE_DATOS!E2)</f>
        <v/>
      </c>
      <c r="E7" s="20">
        <f>IF(BASE_DE_DATOS!G2="","",BASE_DE_DATOS!G2)</f>
        <v>23379</v>
      </c>
      <c r="F7" s="20">
        <f>IF(BASE_DE_DATOS!H2="","",BASE_DE_DATOS!H2)</f>
        <v>100</v>
      </c>
      <c r="G7" s="20">
        <f>IF(BASE_DE_DATOS!J2="","",BASE_DE_DATOS!J2)</f>
        <v>23479</v>
      </c>
      <c r="H7" s="20">
        <f>IF(BASE_DE_DATOS!N2="","",BASE_DE_DATOS!N2)</f>
        <v>200</v>
      </c>
      <c r="J7" s="35"/>
      <c r="K7" s="36"/>
      <c r="L7" s="36"/>
      <c r="M7" s="36"/>
      <c r="N7" s="37"/>
    </row>
    <row r="8" spans="1:14" ht="14.5" customHeight="1" x14ac:dyDescent="0.35">
      <c r="A8" s="28" t="str">
        <f>IF(BASE_DE_DATOS!A3="","",BASE_DE_DATOS!A3)</f>
        <v>25/06/2026</v>
      </c>
      <c r="B8" s="20" t="str">
        <f>IF(BASE_DE_DATOS!C3="","",BASE_DE_DATOS!C3)</f>
        <v>HUEHUETOCA</v>
      </c>
      <c r="C8" s="20" t="str">
        <f>IF(BASE_DE_DATOS!D3="","",BASE_DE_DATOS!D3)</f>
        <v>HUEHUETOCA - SANTIAGO TLALTEPOXCO</v>
      </c>
      <c r="D8" s="20" t="str">
        <f>IF(BASE_DE_DATOS!E3="","",BASE_DE_DATOS!E3)</f>
        <v/>
      </c>
      <c r="E8" s="20">
        <f>IF(BASE_DE_DATOS!G3="","",BASE_DE_DATOS!G3)</f>
        <v>23479</v>
      </c>
      <c r="F8" s="20">
        <f>IF(BASE_DE_DATOS!H3="","",BASE_DE_DATOS!H3)</f>
        <v>0</v>
      </c>
      <c r="G8" s="20">
        <f>IF(BASE_DE_DATOS!J3="","",BASE_DE_DATOS!J3)</f>
        <v>23479</v>
      </c>
      <c r="H8" s="20">
        <f>IF(BASE_DE_DATOS!N3="","",BASE_DE_DATOS!N3)</f>
        <v>300</v>
      </c>
      <c r="J8" s="30" t="s">
        <v>91</v>
      </c>
      <c r="K8" s="30" t="s">
        <v>92</v>
      </c>
      <c r="L8" s="30" t="s">
        <v>93</v>
      </c>
      <c r="M8" s="30" t="s">
        <v>94</v>
      </c>
      <c r="N8" s="30" t="s">
        <v>95</v>
      </c>
    </row>
    <row r="9" spans="1:14" x14ac:dyDescent="0.35">
      <c r="A9" s="28" t="str">
        <f>IF(BASE_DE_DATOS!A4="","",BASE_DE_DATOS!A4)</f>
        <v>26/06/2026</v>
      </c>
      <c r="B9" s="20" t="str">
        <f>IF(BASE_DE_DATOS!C4="","",BASE_DE_DATOS!C4)</f>
        <v>TULTITLAN-NICOLAS ROMERO</v>
      </c>
      <c r="C9" s="20" t="str">
        <f>IF(BASE_DE_DATOS!D4="","",BASE_DE_DATOS!D4)</f>
        <v>SAN FRANCISCO MAGÚ</v>
      </c>
      <c r="D9" s="20" t="str">
        <f>IF(BASE_DE_DATOS!E4="","",BASE_DE_DATOS!E4)</f>
        <v/>
      </c>
      <c r="E9" s="20">
        <f>IF(BASE_DE_DATOS!G4="","",BASE_DE_DATOS!G4)</f>
        <v>23479</v>
      </c>
      <c r="F9" s="20">
        <f>IF(BASE_DE_DATOS!H4="","",BASE_DE_DATOS!H4)</f>
        <v>120</v>
      </c>
      <c r="G9" s="20">
        <f>IF(BASE_DE_DATOS!J4="","",BASE_DE_DATOS!J4)</f>
        <v>23599</v>
      </c>
      <c r="H9" s="20">
        <f>IF(BASE_DE_DATOS!N4="","",BASE_DE_DATOS!N4)</f>
        <v>300</v>
      </c>
      <c r="J9" s="31"/>
      <c r="K9" s="31"/>
      <c r="L9" s="31"/>
      <c r="M9" s="31"/>
      <c r="N9" s="31"/>
    </row>
    <row r="10" spans="1:14" x14ac:dyDescent="0.35">
      <c r="A10" s="28" t="str">
        <f>IF(BASE_DE_DATOS!A5="","",BASE_DE_DATOS!A5)</f>
        <v>29/06/2026</v>
      </c>
      <c r="B10" s="20" t="str">
        <f>IF(BASE_DE_DATOS!C5="","",BASE_DE_DATOS!C5)</f>
        <v>TOLUCA</v>
      </c>
      <c r="C10" s="20" t="str">
        <f>IF(BASE_DE_DATOS!D5="","",BASE_DE_DATOS!D5)</f>
        <v>ZINACANTEPEC-(REPRESENTACIÓN)PENSIÓN</v>
      </c>
      <c r="D10" s="20" t="str">
        <f>IF(BASE_DE_DATOS!E5="","",BASE_DE_DATOS!E5)</f>
        <v/>
      </c>
      <c r="E10" s="20">
        <f>IF(BASE_DE_DATOS!G5="","",BASE_DE_DATOS!G5)</f>
        <v>23599</v>
      </c>
      <c r="F10" s="20">
        <f>IF(BASE_DE_DATOS!H5="","",BASE_DE_DATOS!H5)</f>
        <v>200</v>
      </c>
      <c r="G10" s="20">
        <f>IF(BASE_DE_DATOS!J5="","",BASE_DE_DATOS!J5)</f>
        <v>23799</v>
      </c>
      <c r="H10" s="20">
        <f>IF(BASE_DE_DATOS!N5="","",BASE_DE_DATOS!N5)</f>
        <v>200</v>
      </c>
      <c r="J10" s="21">
        <v>12</v>
      </c>
      <c r="K10" s="21">
        <f t="shared" ref="K10:K39" si="0">F7</f>
        <v>100</v>
      </c>
      <c r="L10" s="21">
        <v>23.99</v>
      </c>
      <c r="M10" s="21">
        <f t="shared" ref="M10:M39" si="1">K10/J10</f>
        <v>8.3333333333333339</v>
      </c>
      <c r="N10" s="21">
        <f t="shared" ref="N10:N39" si="2">L10*M10</f>
        <v>199.91666666666666</v>
      </c>
    </row>
    <row r="11" spans="1:14" x14ac:dyDescent="0.35">
      <c r="A11" s="28" t="str">
        <f>IF(BASE_DE_DATOS!A6="","",BASE_DE_DATOS!A6)</f>
        <v>30/06/2026</v>
      </c>
      <c r="B11" s="20" t="str">
        <f>IF(BASE_DE_DATOS!C6="","",BASE_DE_DATOS!C6)</f>
        <v>TULTITLAN</v>
      </c>
      <c r="C11" s="20" t="str">
        <f>IF(BASE_DE_DATOS!D6="","",BASE_DE_DATOS!D6)</f>
        <v/>
      </c>
      <c r="D11" s="20" t="str">
        <f>IF(BASE_DE_DATOS!E6="","",BASE_DE_DATOS!E6)</f>
        <v/>
      </c>
      <c r="E11" s="20">
        <f>IF(BASE_DE_DATOS!G6="","",BASE_DE_DATOS!G6)</f>
        <v>23799</v>
      </c>
      <c r="F11" s="20">
        <f>IF(BASE_DE_DATOS!H6="","",BASE_DE_DATOS!H6)</f>
        <v>50</v>
      </c>
      <c r="G11" s="20">
        <f>IF(BASE_DE_DATOS!J6="","",BASE_DE_DATOS!J6)</f>
        <v>23849</v>
      </c>
      <c r="H11" s="20">
        <f>IF(BASE_DE_DATOS!N6="","",BASE_DE_DATOS!N6)</f>
        <v>200</v>
      </c>
      <c r="J11" s="21">
        <v>12</v>
      </c>
      <c r="K11" s="21">
        <f t="shared" si="0"/>
        <v>0</v>
      </c>
      <c r="L11" s="21">
        <v>23.99</v>
      </c>
      <c r="M11" s="21">
        <f t="shared" si="1"/>
        <v>0</v>
      </c>
      <c r="N11" s="21">
        <f t="shared" si="2"/>
        <v>0</v>
      </c>
    </row>
    <row r="12" spans="1:14" x14ac:dyDescent="0.35">
      <c r="A12" s="28">
        <f>IF(BASE_DE_DATOS!A7="","",BASE_DE_DATOS!A7)</f>
        <v>46305</v>
      </c>
      <c r="B12" s="20" t="str">
        <f>IF(BASE_DE_DATOS!C7="","",BASE_DE_DATOS!C7)</f>
        <v>ZITACUARO</v>
      </c>
      <c r="C12" s="20" t="str">
        <f>IF(BASE_DE_DATOS!D7="","",BASE_DE_DATOS!D7)</f>
        <v/>
      </c>
      <c r="D12" s="20" t="str">
        <f>IF(BASE_DE_DATOS!E7="","",BASE_DE_DATOS!E7)</f>
        <v/>
      </c>
      <c r="E12" s="20">
        <f>IF(BASE_DE_DATOS!G7="","",BASE_DE_DATOS!G7)</f>
        <v>23849</v>
      </c>
      <c r="F12" s="20" t="str">
        <f>IF(BASE_DE_DATOS!H7="","",BASE_DE_DATOS!H7)</f>
        <v/>
      </c>
      <c r="G12" s="20">
        <f>IF(BASE_DE_DATOS!J7="","",BASE_DE_DATOS!J7)</f>
        <v>23849</v>
      </c>
      <c r="H12" s="20" t="str">
        <f>IF(BASE_DE_DATOS!N7="","",BASE_DE_DATOS!N7)</f>
        <v/>
      </c>
      <c r="J12" s="21">
        <v>12</v>
      </c>
      <c r="K12" s="21">
        <f t="shared" si="0"/>
        <v>120</v>
      </c>
      <c r="L12" s="21">
        <v>23.79</v>
      </c>
      <c r="M12" s="21">
        <f t="shared" si="1"/>
        <v>10</v>
      </c>
      <c r="N12" s="21">
        <f t="shared" si="2"/>
        <v>237.89999999999998</v>
      </c>
    </row>
    <row r="13" spans="1:14" x14ac:dyDescent="0.35">
      <c r="A13" s="28" t="str">
        <f>IF(BASE_DE_DATOS!A8="","",BASE_DE_DATOS!A8)</f>
        <v>07/07/2026</v>
      </c>
      <c r="B13" s="20" t="str">
        <f>IF(BASE_DE_DATOS!C8="","",BASE_DE_DATOS!C8)</f>
        <v/>
      </c>
      <c r="C13" s="20" t="str">
        <f>IF(BASE_DE_DATOS!D8="","",BASE_DE_DATOS!D8)</f>
        <v/>
      </c>
      <c r="D13" s="20" t="str">
        <f>IF(BASE_DE_DATOS!E8="","",BASE_DE_DATOS!E8)</f>
        <v/>
      </c>
      <c r="E13" s="20">
        <f>IF(BASE_DE_DATOS!G8="","",BASE_DE_DATOS!G8)</f>
        <v>23849</v>
      </c>
      <c r="F13" s="20" t="str">
        <f>IF(BASE_DE_DATOS!H8="","",BASE_DE_DATOS!H8)</f>
        <v/>
      </c>
      <c r="G13" s="20">
        <f>IF(BASE_DE_DATOS!J8="","",BASE_DE_DATOS!J8)</f>
        <v>23849</v>
      </c>
      <c r="H13" s="20" t="str">
        <f>IF(BASE_DE_DATOS!N8="","",BASE_DE_DATOS!N8)</f>
        <v/>
      </c>
      <c r="J13" s="21">
        <v>12</v>
      </c>
      <c r="K13" s="21">
        <f t="shared" si="0"/>
        <v>200</v>
      </c>
      <c r="L13" s="21">
        <v>23.27</v>
      </c>
      <c r="M13" s="21">
        <f t="shared" si="1"/>
        <v>16.666666666666668</v>
      </c>
      <c r="N13" s="21">
        <f t="shared" si="2"/>
        <v>387.83333333333337</v>
      </c>
    </row>
    <row r="14" spans="1:14" x14ac:dyDescent="0.35">
      <c r="A14" s="28" t="str">
        <f>IF(BASE_DE_DATOS!A9="","",BASE_DE_DATOS!A9)</f>
        <v>08/07/2026</v>
      </c>
      <c r="B14" s="20" t="str">
        <f>IF(BASE_DE_DATOS!C9="","",BASE_DE_DATOS!C9)</f>
        <v/>
      </c>
      <c r="C14" s="20" t="str">
        <f>IF(BASE_DE_DATOS!D9="","",BASE_DE_DATOS!D9)</f>
        <v/>
      </c>
      <c r="D14" s="20" t="str">
        <f>IF(BASE_DE_DATOS!E9="","",BASE_DE_DATOS!E9)</f>
        <v/>
      </c>
      <c r="E14" s="20">
        <f>IF(BASE_DE_DATOS!G9="","",BASE_DE_DATOS!G9)</f>
        <v>23849</v>
      </c>
      <c r="F14" s="20" t="str">
        <f>IF(BASE_DE_DATOS!H9="","",BASE_DE_DATOS!H9)</f>
        <v/>
      </c>
      <c r="G14" s="20">
        <f>IF(BASE_DE_DATOS!J9="","",BASE_DE_DATOS!J9)</f>
        <v>23849</v>
      </c>
      <c r="H14" s="20" t="str">
        <f>IF(BASE_DE_DATOS!N9="","",BASE_DE_DATOS!N9)</f>
        <v/>
      </c>
      <c r="J14" s="21">
        <v>11.7</v>
      </c>
      <c r="K14" s="21">
        <f t="shared" si="0"/>
        <v>50</v>
      </c>
      <c r="L14" s="21">
        <v>23.99</v>
      </c>
      <c r="M14" s="21">
        <f t="shared" si="1"/>
        <v>4.2735042735042734</v>
      </c>
      <c r="N14" s="21">
        <f t="shared" si="2"/>
        <v>102.52136752136751</v>
      </c>
    </row>
    <row r="15" spans="1:14" x14ac:dyDescent="0.35">
      <c r="A15" s="28" t="str">
        <f>IF(BASE_DE_DATOS!A10="","",BASE_DE_DATOS!A10)</f>
        <v>09/07/2026</v>
      </c>
      <c r="B15" s="20" t="str">
        <f>IF(BASE_DE_DATOS!C10="","",BASE_DE_DATOS!C10)</f>
        <v/>
      </c>
      <c r="C15" s="20" t="str">
        <f>IF(BASE_DE_DATOS!D10="","",BASE_DE_DATOS!D10)</f>
        <v/>
      </c>
      <c r="D15" s="20" t="str">
        <f>IF(BASE_DE_DATOS!E10="","",BASE_DE_DATOS!E10)</f>
        <v/>
      </c>
      <c r="E15" s="20">
        <f>IF(BASE_DE_DATOS!G10="","",BASE_DE_DATOS!G10)</f>
        <v>23849</v>
      </c>
      <c r="F15" s="20" t="str">
        <f>IF(BASE_DE_DATOS!H10="","",BASE_DE_DATOS!H10)</f>
        <v/>
      </c>
      <c r="G15" s="20">
        <f>IF(BASE_DE_DATOS!J10="","",BASE_DE_DATOS!J10)</f>
        <v>23849</v>
      </c>
      <c r="H15" s="20" t="str">
        <f>IF(BASE_DE_DATOS!N10="","",BASE_DE_DATOS!N10)</f>
        <v/>
      </c>
      <c r="J15" s="21">
        <v>11.7</v>
      </c>
      <c r="K15" s="21" t="str">
        <f t="shared" si="0"/>
        <v/>
      </c>
      <c r="L15" s="22">
        <v>23.99</v>
      </c>
      <c r="M15" s="21" t="e">
        <f t="shared" si="1"/>
        <v>#VALUE!</v>
      </c>
      <c r="N15" s="22" t="e">
        <f t="shared" si="2"/>
        <v>#VALUE!</v>
      </c>
    </row>
    <row r="16" spans="1:14" x14ac:dyDescent="0.35">
      <c r="A16" s="28" t="str">
        <f>IF(BASE_DE_DATOS!A11="","",BASE_DE_DATOS!A11)</f>
        <v>10/07/2026</v>
      </c>
      <c r="B16" s="20" t="str">
        <f>IF(BASE_DE_DATOS!C11="","",BASE_DE_DATOS!C11)</f>
        <v/>
      </c>
      <c r="C16" s="20" t="str">
        <f>IF(BASE_DE_DATOS!D11="","",BASE_DE_DATOS!D11)</f>
        <v/>
      </c>
      <c r="D16" s="20" t="str">
        <f>IF(BASE_DE_DATOS!E11="","",BASE_DE_DATOS!E11)</f>
        <v/>
      </c>
      <c r="E16" s="20">
        <f>IF(BASE_DE_DATOS!G11="","",BASE_DE_DATOS!G11)</f>
        <v>23849</v>
      </c>
      <c r="F16" s="20" t="str">
        <f>IF(BASE_DE_DATOS!H11="","",BASE_DE_DATOS!H11)</f>
        <v/>
      </c>
      <c r="G16" s="20">
        <f>IF(BASE_DE_DATOS!J11="","",BASE_DE_DATOS!J11)</f>
        <v>23849</v>
      </c>
      <c r="H16" s="20" t="str">
        <f>IF(BASE_DE_DATOS!N11="","",BASE_DE_DATOS!N11)</f>
        <v/>
      </c>
      <c r="J16" s="21">
        <v>11.7</v>
      </c>
      <c r="K16" s="21" t="str">
        <f t="shared" si="0"/>
        <v/>
      </c>
      <c r="L16" s="21">
        <v>23.99</v>
      </c>
      <c r="M16" s="21" t="e">
        <f t="shared" si="1"/>
        <v>#VALUE!</v>
      </c>
      <c r="N16" s="21" t="e">
        <f t="shared" si="2"/>
        <v>#VALUE!</v>
      </c>
    </row>
    <row r="17" spans="1:14" x14ac:dyDescent="0.35">
      <c r="A17" s="28" t="str">
        <f>IF(BASE_DE_DATOS!A12="","",BASE_DE_DATOS!A12)</f>
        <v>11/07/2026</v>
      </c>
      <c r="B17" s="20" t="str">
        <f>IF(BASE_DE_DATOS!C12="","",BASE_DE_DATOS!C12)</f>
        <v/>
      </c>
      <c r="C17" s="20" t="str">
        <f>IF(BASE_DE_DATOS!D12="","",BASE_DE_DATOS!D12)</f>
        <v/>
      </c>
      <c r="D17" s="20" t="str">
        <f>IF(BASE_DE_DATOS!E12="","",BASE_DE_DATOS!E12)</f>
        <v/>
      </c>
      <c r="E17" s="20">
        <f>IF(BASE_DE_DATOS!G12="","",BASE_DE_DATOS!G12)</f>
        <v>23849</v>
      </c>
      <c r="F17" s="20" t="str">
        <f>IF(BASE_DE_DATOS!H12="","",BASE_DE_DATOS!H12)</f>
        <v/>
      </c>
      <c r="G17" s="20">
        <f>IF(BASE_DE_DATOS!J12="","",BASE_DE_DATOS!J12)</f>
        <v>23849</v>
      </c>
      <c r="H17" s="20" t="str">
        <f>IF(BASE_DE_DATOS!N12="","",BASE_DE_DATOS!N12)</f>
        <v/>
      </c>
      <c r="J17" s="21">
        <v>11.7</v>
      </c>
      <c r="K17" s="21" t="str">
        <f t="shared" si="0"/>
        <v/>
      </c>
      <c r="L17" s="21">
        <v>23.99</v>
      </c>
      <c r="M17" s="21" t="e">
        <f t="shared" si="1"/>
        <v>#VALUE!</v>
      </c>
      <c r="N17" s="21" t="e">
        <f t="shared" si="2"/>
        <v>#VALUE!</v>
      </c>
    </row>
    <row r="18" spans="1:14" x14ac:dyDescent="0.35">
      <c r="A18" s="28" t="str">
        <f>IF(BASE_DE_DATOS!A13="","",BASE_DE_DATOS!A13)</f>
        <v>12/07/2026</v>
      </c>
      <c r="B18" s="20" t="str">
        <f>IF(BASE_DE_DATOS!C13="","",BASE_DE_DATOS!C13)</f>
        <v/>
      </c>
      <c r="C18" s="20" t="str">
        <f>IF(BASE_DE_DATOS!D13="","",BASE_DE_DATOS!D13)</f>
        <v/>
      </c>
      <c r="D18" s="20" t="str">
        <f>IF(BASE_DE_DATOS!E13="","",BASE_DE_DATOS!E13)</f>
        <v/>
      </c>
      <c r="E18" s="20">
        <f>IF(BASE_DE_DATOS!G13="","",BASE_DE_DATOS!G13)</f>
        <v>23849</v>
      </c>
      <c r="F18" s="20" t="str">
        <f>IF(BASE_DE_DATOS!H13="","",BASE_DE_DATOS!H13)</f>
        <v/>
      </c>
      <c r="G18" s="20">
        <f>IF(BASE_DE_DATOS!J13="","",BASE_DE_DATOS!J13)</f>
        <v>23849</v>
      </c>
      <c r="H18" s="20" t="str">
        <f>IF(BASE_DE_DATOS!N13="","",BASE_DE_DATOS!N13)</f>
        <v/>
      </c>
      <c r="J18" s="21">
        <v>11.7</v>
      </c>
      <c r="K18" s="21" t="str">
        <f t="shared" si="0"/>
        <v/>
      </c>
      <c r="L18" s="21">
        <v>23.99</v>
      </c>
      <c r="M18" s="21" t="e">
        <f t="shared" si="1"/>
        <v>#VALUE!</v>
      </c>
      <c r="N18" s="21" t="e">
        <f t="shared" si="2"/>
        <v>#VALUE!</v>
      </c>
    </row>
    <row r="19" spans="1:14" x14ac:dyDescent="0.35">
      <c r="A19" s="28" t="str">
        <f>IF(BASE_DE_DATOS!A14="","",BASE_DE_DATOS!A14)</f>
        <v>13/07/2026</v>
      </c>
      <c r="B19" s="20" t="str">
        <f>IF(BASE_DE_DATOS!C14="","",BASE_DE_DATOS!C14)</f>
        <v/>
      </c>
      <c r="C19" s="20" t="str">
        <f>IF(BASE_DE_DATOS!D14="","",BASE_DE_DATOS!D14)</f>
        <v/>
      </c>
      <c r="D19" s="20" t="str">
        <f>IF(BASE_DE_DATOS!E14="","",BASE_DE_DATOS!E14)</f>
        <v/>
      </c>
      <c r="E19" s="20">
        <f>IF(BASE_DE_DATOS!G14="","",BASE_DE_DATOS!G14)</f>
        <v>23849</v>
      </c>
      <c r="F19" s="20" t="str">
        <f>IF(BASE_DE_DATOS!H14="","",BASE_DE_DATOS!H14)</f>
        <v/>
      </c>
      <c r="G19" s="20">
        <f>IF(BASE_DE_DATOS!J14="","",BASE_DE_DATOS!J14)</f>
        <v>23849</v>
      </c>
      <c r="H19" s="20" t="str">
        <f>IF(BASE_DE_DATOS!N14="","",BASE_DE_DATOS!N14)</f>
        <v/>
      </c>
      <c r="J19" s="21">
        <v>11.7</v>
      </c>
      <c r="K19" s="21" t="str">
        <f t="shared" si="0"/>
        <v/>
      </c>
      <c r="L19" s="21">
        <v>23.99</v>
      </c>
      <c r="M19" s="21" t="e">
        <f t="shared" si="1"/>
        <v>#VALUE!</v>
      </c>
      <c r="N19" s="21" t="e">
        <f t="shared" si="2"/>
        <v>#VALUE!</v>
      </c>
    </row>
    <row r="20" spans="1:14" x14ac:dyDescent="0.35">
      <c r="A20" s="28" t="str">
        <f>IF(BASE_DE_DATOS!A15="","",BASE_DE_DATOS!A15)</f>
        <v>14/07/2026</v>
      </c>
      <c r="B20" s="20" t="str">
        <f>IF(BASE_DE_DATOS!C15="","",BASE_DE_DATOS!C15)</f>
        <v/>
      </c>
      <c r="C20" s="20" t="str">
        <f>IF(BASE_DE_DATOS!D15="","",BASE_DE_DATOS!D15)</f>
        <v/>
      </c>
      <c r="D20" s="20" t="str">
        <f>IF(BASE_DE_DATOS!E15="","",BASE_DE_DATOS!E15)</f>
        <v/>
      </c>
      <c r="E20" s="20">
        <f>IF(BASE_DE_DATOS!G15="","",BASE_DE_DATOS!G15)</f>
        <v>23849</v>
      </c>
      <c r="F20" s="20" t="str">
        <f>IF(BASE_DE_DATOS!H15="","",BASE_DE_DATOS!H15)</f>
        <v/>
      </c>
      <c r="G20" s="20">
        <f>IF(BASE_DE_DATOS!J15="","",BASE_DE_DATOS!J15)</f>
        <v>23849</v>
      </c>
      <c r="H20" s="20" t="str">
        <f>IF(BASE_DE_DATOS!N15="","",BASE_DE_DATOS!N15)</f>
        <v/>
      </c>
      <c r="J20" s="21">
        <v>11.7</v>
      </c>
      <c r="K20" s="21" t="str">
        <f t="shared" si="0"/>
        <v/>
      </c>
      <c r="L20" s="21">
        <v>23.99</v>
      </c>
      <c r="M20" s="21" t="e">
        <f t="shared" si="1"/>
        <v>#VALUE!</v>
      </c>
      <c r="N20" s="21" t="e">
        <f t="shared" si="2"/>
        <v>#VALUE!</v>
      </c>
    </row>
    <row r="21" spans="1:14" x14ac:dyDescent="0.35">
      <c r="A21" s="28" t="str">
        <f>IF(BASE_DE_DATOS!A16="","",BASE_DE_DATOS!A16)</f>
        <v>15/07/2026</v>
      </c>
      <c r="B21" s="20" t="str">
        <f>IF(BASE_DE_DATOS!C16="","",BASE_DE_DATOS!C16)</f>
        <v/>
      </c>
      <c r="C21" s="20" t="str">
        <f>IF(BASE_DE_DATOS!D16="","",BASE_DE_DATOS!D16)</f>
        <v/>
      </c>
      <c r="D21" s="20" t="str">
        <f>IF(BASE_DE_DATOS!E16="","",BASE_DE_DATOS!E16)</f>
        <v/>
      </c>
      <c r="E21" s="20">
        <f>IF(BASE_DE_DATOS!G16="","",BASE_DE_DATOS!G16)</f>
        <v>23849</v>
      </c>
      <c r="F21" s="20" t="str">
        <f>IF(BASE_DE_DATOS!H16="","",BASE_DE_DATOS!H16)</f>
        <v/>
      </c>
      <c r="G21" s="20">
        <f>IF(BASE_DE_DATOS!J16="","",BASE_DE_DATOS!J16)</f>
        <v>23849</v>
      </c>
      <c r="H21" s="20" t="str">
        <f>IF(BASE_DE_DATOS!N16="","",BASE_DE_DATOS!N16)</f>
        <v/>
      </c>
      <c r="J21" s="21">
        <v>11.7</v>
      </c>
      <c r="K21" s="21" t="str">
        <f t="shared" si="0"/>
        <v/>
      </c>
      <c r="L21" s="21">
        <v>23.99</v>
      </c>
      <c r="M21" s="21" t="e">
        <f t="shared" si="1"/>
        <v>#VALUE!</v>
      </c>
      <c r="N21" s="21" t="e">
        <f t="shared" si="2"/>
        <v>#VALUE!</v>
      </c>
    </row>
    <row r="22" spans="1:14" x14ac:dyDescent="0.35">
      <c r="A22" s="28" t="str">
        <f>IF(BASE_DE_DATOS!A17="","",BASE_DE_DATOS!A17)</f>
        <v>16/07/2026</v>
      </c>
      <c r="B22" s="20" t="str">
        <f>IF(BASE_DE_DATOS!C17="","",BASE_DE_DATOS!C17)</f>
        <v/>
      </c>
      <c r="C22" s="20" t="str">
        <f>IF(BASE_DE_DATOS!D17="","",BASE_DE_DATOS!D17)</f>
        <v/>
      </c>
      <c r="D22" s="20" t="str">
        <f>IF(BASE_DE_DATOS!E17="","",BASE_DE_DATOS!E17)</f>
        <v/>
      </c>
      <c r="E22" s="20">
        <f>IF(BASE_DE_DATOS!G17="","",BASE_DE_DATOS!G17)</f>
        <v>23849</v>
      </c>
      <c r="F22" s="20" t="str">
        <f>IF(BASE_DE_DATOS!H17="","",BASE_DE_DATOS!H17)</f>
        <v/>
      </c>
      <c r="G22" s="20">
        <f>IF(BASE_DE_DATOS!J17="","",BASE_DE_DATOS!J17)</f>
        <v>23849</v>
      </c>
      <c r="H22" s="20" t="str">
        <f>IF(BASE_DE_DATOS!N17="","",BASE_DE_DATOS!N17)</f>
        <v/>
      </c>
      <c r="J22" s="21">
        <v>11.7</v>
      </c>
      <c r="K22" s="21" t="str">
        <f t="shared" si="0"/>
        <v/>
      </c>
      <c r="L22" s="21">
        <v>23.99</v>
      </c>
      <c r="M22" s="21" t="e">
        <f t="shared" si="1"/>
        <v>#VALUE!</v>
      </c>
      <c r="N22" s="21" t="e">
        <f t="shared" si="2"/>
        <v>#VALUE!</v>
      </c>
    </row>
    <row r="23" spans="1:14" x14ac:dyDescent="0.35">
      <c r="A23" s="28" t="str">
        <f>IF(BASE_DE_DATOS!A18="","",BASE_DE_DATOS!A18)</f>
        <v>17/07/2026</v>
      </c>
      <c r="B23" s="20" t="str">
        <f>IF(BASE_DE_DATOS!C18="","",BASE_DE_DATOS!C18)</f>
        <v/>
      </c>
      <c r="C23" s="20" t="str">
        <f>IF(BASE_DE_DATOS!D18="","",BASE_DE_DATOS!D18)</f>
        <v/>
      </c>
      <c r="D23" s="20" t="str">
        <f>IF(BASE_DE_DATOS!E18="","",BASE_DE_DATOS!E18)</f>
        <v/>
      </c>
      <c r="E23" s="20">
        <f>IF(BASE_DE_DATOS!G18="","",BASE_DE_DATOS!G18)</f>
        <v>23849</v>
      </c>
      <c r="F23" s="20" t="str">
        <f>IF(BASE_DE_DATOS!H18="","",BASE_DE_DATOS!H18)</f>
        <v/>
      </c>
      <c r="G23" s="20">
        <f>IF(BASE_DE_DATOS!J18="","",BASE_DE_DATOS!J18)</f>
        <v>23849</v>
      </c>
      <c r="H23" s="20" t="str">
        <f>IF(BASE_DE_DATOS!N18="","",BASE_DE_DATOS!N18)</f>
        <v/>
      </c>
      <c r="J23" s="21">
        <v>11.7</v>
      </c>
      <c r="K23" s="21" t="str">
        <f t="shared" si="0"/>
        <v/>
      </c>
      <c r="L23" s="21">
        <v>23.99</v>
      </c>
      <c r="M23" s="21" t="e">
        <f t="shared" si="1"/>
        <v>#VALUE!</v>
      </c>
      <c r="N23" s="21" t="e">
        <f t="shared" si="2"/>
        <v>#VALUE!</v>
      </c>
    </row>
    <row r="24" spans="1:14" x14ac:dyDescent="0.35">
      <c r="A24" s="28" t="str">
        <f>IF(BASE_DE_DATOS!A19="","",BASE_DE_DATOS!A19)</f>
        <v>18/07/2026</v>
      </c>
      <c r="B24" s="20" t="str">
        <f>IF(BASE_DE_DATOS!C19="","",BASE_DE_DATOS!C19)</f>
        <v/>
      </c>
      <c r="C24" s="20" t="str">
        <f>IF(BASE_DE_DATOS!D19="","",BASE_DE_DATOS!D19)</f>
        <v/>
      </c>
      <c r="D24" s="20" t="str">
        <f>IF(BASE_DE_DATOS!E19="","",BASE_DE_DATOS!E19)</f>
        <v/>
      </c>
      <c r="E24" s="20">
        <f>IF(BASE_DE_DATOS!G19="","",BASE_DE_DATOS!G19)</f>
        <v>23849</v>
      </c>
      <c r="F24" s="20" t="str">
        <f>IF(BASE_DE_DATOS!H19="","",BASE_DE_DATOS!H19)</f>
        <v/>
      </c>
      <c r="G24" s="20">
        <f>IF(BASE_DE_DATOS!J19="","",BASE_DE_DATOS!J19)</f>
        <v>23849</v>
      </c>
      <c r="H24" s="20" t="str">
        <f>IF(BASE_DE_DATOS!N19="","",BASE_DE_DATOS!N19)</f>
        <v/>
      </c>
      <c r="J24" s="21">
        <v>11.7</v>
      </c>
      <c r="K24" s="21" t="str">
        <f t="shared" si="0"/>
        <v/>
      </c>
      <c r="L24" s="21">
        <v>23.99</v>
      </c>
      <c r="M24" s="21" t="e">
        <f t="shared" si="1"/>
        <v>#VALUE!</v>
      </c>
      <c r="N24" s="21" t="e">
        <f t="shared" si="2"/>
        <v>#VALUE!</v>
      </c>
    </row>
    <row r="25" spans="1:14" x14ac:dyDescent="0.35">
      <c r="A25" s="28" t="str">
        <f>IF(BASE_DE_DATOS!A20="","",BASE_DE_DATOS!A20)</f>
        <v>19/07/2026</v>
      </c>
      <c r="B25" s="20" t="str">
        <f>IF(BASE_DE_DATOS!C20="","",BASE_DE_DATOS!C20)</f>
        <v/>
      </c>
      <c r="C25" s="20" t="str">
        <f>IF(BASE_DE_DATOS!D20="","",BASE_DE_DATOS!D20)</f>
        <v/>
      </c>
      <c r="D25" s="20" t="str">
        <f>IF(BASE_DE_DATOS!E20="","",BASE_DE_DATOS!E20)</f>
        <v/>
      </c>
      <c r="E25" s="20">
        <f>IF(BASE_DE_DATOS!G20="","",BASE_DE_DATOS!G20)</f>
        <v>23849</v>
      </c>
      <c r="F25" s="20" t="str">
        <f>IF(BASE_DE_DATOS!H20="","",BASE_DE_DATOS!H20)</f>
        <v/>
      </c>
      <c r="G25" s="20">
        <f>IF(BASE_DE_DATOS!J20="","",BASE_DE_DATOS!J20)</f>
        <v>23849</v>
      </c>
      <c r="H25" s="20" t="str">
        <f>IF(BASE_DE_DATOS!N20="","",BASE_DE_DATOS!N20)</f>
        <v/>
      </c>
      <c r="J25" s="21">
        <v>11.7</v>
      </c>
      <c r="K25" s="21" t="str">
        <f t="shared" si="0"/>
        <v/>
      </c>
      <c r="L25" s="21">
        <v>23.99</v>
      </c>
      <c r="M25" s="21" t="e">
        <f t="shared" si="1"/>
        <v>#VALUE!</v>
      </c>
      <c r="N25" s="21" t="e">
        <f t="shared" si="2"/>
        <v>#VALUE!</v>
      </c>
    </row>
    <row r="26" spans="1:14" x14ac:dyDescent="0.35">
      <c r="A26" s="28" t="str">
        <f>IF(BASE_DE_DATOS!A21="","",BASE_DE_DATOS!A21)</f>
        <v>20/07/2026</v>
      </c>
      <c r="B26" s="20" t="str">
        <f>IF(BASE_DE_DATOS!C21="","",BASE_DE_DATOS!C21)</f>
        <v/>
      </c>
      <c r="C26" s="20" t="str">
        <f>IF(BASE_DE_DATOS!D21="","",BASE_DE_DATOS!D21)</f>
        <v/>
      </c>
      <c r="D26" s="20" t="str">
        <f>IF(BASE_DE_DATOS!E21="","",BASE_DE_DATOS!E21)</f>
        <v/>
      </c>
      <c r="E26" s="20">
        <f>IF(BASE_DE_DATOS!G21="","",BASE_DE_DATOS!G21)</f>
        <v>23849</v>
      </c>
      <c r="F26" s="20" t="str">
        <f>IF(BASE_DE_DATOS!H21="","",BASE_DE_DATOS!H21)</f>
        <v/>
      </c>
      <c r="G26" s="20">
        <f>IF(BASE_DE_DATOS!J21="","",BASE_DE_DATOS!J21)</f>
        <v>23849</v>
      </c>
      <c r="H26" s="20" t="str">
        <f>IF(BASE_DE_DATOS!N21="","",BASE_DE_DATOS!N21)</f>
        <v/>
      </c>
      <c r="J26" s="21">
        <v>11.7</v>
      </c>
      <c r="K26" s="21" t="str">
        <f t="shared" si="0"/>
        <v/>
      </c>
      <c r="L26" s="21">
        <v>23.99</v>
      </c>
      <c r="M26" s="21" t="e">
        <f t="shared" si="1"/>
        <v>#VALUE!</v>
      </c>
      <c r="N26" s="21" t="e">
        <f t="shared" si="2"/>
        <v>#VALUE!</v>
      </c>
    </row>
    <row r="27" spans="1:14" x14ac:dyDescent="0.35">
      <c r="A27" s="28" t="str">
        <f>IF(BASE_DE_DATOS!A22="","",BASE_DE_DATOS!A22)</f>
        <v>21/07/2026</v>
      </c>
      <c r="B27" s="20" t="str">
        <f>IF(BASE_DE_DATOS!C22="","",BASE_DE_DATOS!C22)</f>
        <v/>
      </c>
      <c r="C27" s="20" t="str">
        <f>IF(BASE_DE_DATOS!D22="","",BASE_DE_DATOS!D22)</f>
        <v/>
      </c>
      <c r="D27" s="20" t="str">
        <f>IF(BASE_DE_DATOS!E22="","",BASE_DE_DATOS!E22)</f>
        <v/>
      </c>
      <c r="E27" s="20">
        <f>IF(BASE_DE_DATOS!G22="","",BASE_DE_DATOS!G22)</f>
        <v>23849</v>
      </c>
      <c r="F27" s="20" t="str">
        <f>IF(BASE_DE_DATOS!H22="","",BASE_DE_DATOS!H22)</f>
        <v/>
      </c>
      <c r="G27" s="20">
        <f>IF(BASE_DE_DATOS!J22="","",BASE_DE_DATOS!J22)</f>
        <v>23849</v>
      </c>
      <c r="H27" s="20" t="str">
        <f>IF(BASE_DE_DATOS!N22="","",BASE_DE_DATOS!N22)</f>
        <v/>
      </c>
      <c r="J27" s="21">
        <v>11.7</v>
      </c>
      <c r="K27" s="21" t="str">
        <f t="shared" si="0"/>
        <v/>
      </c>
      <c r="L27" s="21">
        <v>23.99</v>
      </c>
      <c r="M27" s="21" t="e">
        <f t="shared" si="1"/>
        <v>#VALUE!</v>
      </c>
      <c r="N27" s="21" t="e">
        <f t="shared" si="2"/>
        <v>#VALUE!</v>
      </c>
    </row>
    <row r="28" spans="1:14" x14ac:dyDescent="0.35">
      <c r="A28" s="28" t="str">
        <f>IF(BASE_DE_DATOS!A23="","",BASE_DE_DATOS!A23)</f>
        <v>22/07/2026</v>
      </c>
      <c r="B28" s="20" t="str">
        <f>IF(BASE_DE_DATOS!C23="","",BASE_DE_DATOS!C23)</f>
        <v/>
      </c>
      <c r="C28" s="20" t="str">
        <f>IF(BASE_DE_DATOS!D23="","",BASE_DE_DATOS!D23)</f>
        <v/>
      </c>
      <c r="D28" s="20" t="str">
        <f>IF(BASE_DE_DATOS!E23="","",BASE_DE_DATOS!E23)</f>
        <v/>
      </c>
      <c r="E28" s="20">
        <f>IF(BASE_DE_DATOS!G23="","",BASE_DE_DATOS!G23)</f>
        <v>23849</v>
      </c>
      <c r="F28" s="20" t="str">
        <f>IF(BASE_DE_DATOS!H23="","",BASE_DE_DATOS!H23)</f>
        <v/>
      </c>
      <c r="G28" s="20">
        <f>IF(BASE_DE_DATOS!J23="","",BASE_DE_DATOS!J23)</f>
        <v>23849</v>
      </c>
      <c r="H28" s="20" t="str">
        <f>IF(BASE_DE_DATOS!N23="","",BASE_DE_DATOS!N23)</f>
        <v/>
      </c>
      <c r="J28" s="21">
        <v>11.7</v>
      </c>
      <c r="K28" s="21" t="str">
        <f t="shared" si="0"/>
        <v/>
      </c>
      <c r="L28" s="21">
        <v>23.99</v>
      </c>
      <c r="M28" s="21" t="e">
        <f t="shared" si="1"/>
        <v>#VALUE!</v>
      </c>
      <c r="N28" s="21" t="e">
        <f t="shared" si="2"/>
        <v>#VALUE!</v>
      </c>
    </row>
    <row r="29" spans="1:14" x14ac:dyDescent="0.35">
      <c r="A29" s="28" t="str">
        <f>IF(BASE_DE_DATOS!A24="","",BASE_DE_DATOS!A24)</f>
        <v>23/07/2026</v>
      </c>
      <c r="B29" s="20" t="str">
        <f>IF(BASE_DE_DATOS!C24="","",BASE_DE_DATOS!C24)</f>
        <v/>
      </c>
      <c r="C29" s="20" t="str">
        <f>IF(BASE_DE_DATOS!D24="","",BASE_DE_DATOS!D24)</f>
        <v/>
      </c>
      <c r="D29" s="20" t="str">
        <f>IF(BASE_DE_DATOS!E24="","",BASE_DE_DATOS!E24)</f>
        <v/>
      </c>
      <c r="E29" s="20">
        <f>IF(BASE_DE_DATOS!G24="","",BASE_DE_DATOS!G24)</f>
        <v>23849</v>
      </c>
      <c r="F29" s="20" t="str">
        <f>IF(BASE_DE_DATOS!H24="","",BASE_DE_DATOS!H24)</f>
        <v/>
      </c>
      <c r="G29" s="20">
        <f>IF(BASE_DE_DATOS!J24="","",BASE_DE_DATOS!J24)</f>
        <v>23849</v>
      </c>
      <c r="H29" s="20" t="str">
        <f>IF(BASE_DE_DATOS!N24="","",BASE_DE_DATOS!N24)</f>
        <v/>
      </c>
      <c r="J29" s="21">
        <v>11.7</v>
      </c>
      <c r="K29" s="21" t="str">
        <f t="shared" si="0"/>
        <v/>
      </c>
      <c r="L29" s="21">
        <v>23.99</v>
      </c>
      <c r="M29" s="21" t="e">
        <f t="shared" si="1"/>
        <v>#VALUE!</v>
      </c>
      <c r="N29" s="21" t="e">
        <f t="shared" si="2"/>
        <v>#VALUE!</v>
      </c>
    </row>
    <row r="30" spans="1:14" x14ac:dyDescent="0.35">
      <c r="A30" s="28" t="str">
        <f>IF(BASE_DE_DATOS!A25="","",BASE_DE_DATOS!A25)</f>
        <v>24/07/2026</v>
      </c>
      <c r="B30" s="20" t="str">
        <f>IF(BASE_DE_DATOS!C25="","",BASE_DE_DATOS!C25)</f>
        <v/>
      </c>
      <c r="C30" s="20" t="str">
        <f>IF(BASE_DE_DATOS!D25="","",BASE_DE_DATOS!D25)</f>
        <v/>
      </c>
      <c r="D30" s="20" t="str">
        <f>IF(BASE_DE_DATOS!E25="","",BASE_DE_DATOS!E25)</f>
        <v/>
      </c>
      <c r="E30" s="20">
        <f>IF(BASE_DE_DATOS!G25="","",BASE_DE_DATOS!G25)</f>
        <v>23849</v>
      </c>
      <c r="F30" s="20" t="str">
        <f>IF(BASE_DE_DATOS!H25="","",BASE_DE_DATOS!H25)</f>
        <v/>
      </c>
      <c r="G30" s="20">
        <f>IF(BASE_DE_DATOS!J25="","",BASE_DE_DATOS!J25)</f>
        <v>23849</v>
      </c>
      <c r="H30" s="20" t="str">
        <f>IF(BASE_DE_DATOS!N25="","",BASE_DE_DATOS!N25)</f>
        <v/>
      </c>
      <c r="J30" s="21">
        <v>11.7</v>
      </c>
      <c r="K30" s="21" t="str">
        <f t="shared" si="0"/>
        <v/>
      </c>
      <c r="L30" s="21">
        <v>23.99</v>
      </c>
      <c r="M30" s="21" t="e">
        <f t="shared" si="1"/>
        <v>#VALUE!</v>
      </c>
      <c r="N30" s="21" t="e">
        <f t="shared" si="2"/>
        <v>#VALUE!</v>
      </c>
    </row>
    <row r="31" spans="1:14" x14ac:dyDescent="0.35">
      <c r="A31" s="28" t="str">
        <f>IF(BASE_DE_DATOS!A26="","",BASE_DE_DATOS!A26)</f>
        <v>25/07/2026</v>
      </c>
      <c r="B31" s="20" t="str">
        <f>IF(BASE_DE_DATOS!C26="","",BASE_DE_DATOS!C26)</f>
        <v/>
      </c>
      <c r="C31" s="20" t="str">
        <f>IF(BASE_DE_DATOS!D26="","",BASE_DE_DATOS!D26)</f>
        <v/>
      </c>
      <c r="D31" s="20" t="str">
        <f>IF(BASE_DE_DATOS!E26="","",BASE_DE_DATOS!E26)</f>
        <v/>
      </c>
      <c r="E31" s="20">
        <f>IF(BASE_DE_DATOS!G26="","",BASE_DE_DATOS!G26)</f>
        <v>23849</v>
      </c>
      <c r="F31" s="20" t="str">
        <f>IF(BASE_DE_DATOS!H26="","",BASE_DE_DATOS!H26)</f>
        <v/>
      </c>
      <c r="G31" s="20">
        <f>IF(BASE_DE_DATOS!J26="","",BASE_DE_DATOS!J26)</f>
        <v>23849</v>
      </c>
      <c r="H31" s="20" t="str">
        <f>IF(BASE_DE_DATOS!N26="","",BASE_DE_DATOS!N26)</f>
        <v/>
      </c>
      <c r="J31" s="21">
        <v>11.7</v>
      </c>
      <c r="K31" s="21" t="str">
        <f t="shared" si="0"/>
        <v/>
      </c>
      <c r="L31" s="21">
        <v>23.99</v>
      </c>
      <c r="M31" s="21" t="e">
        <f t="shared" si="1"/>
        <v>#VALUE!</v>
      </c>
      <c r="N31" s="21" t="e">
        <f t="shared" si="2"/>
        <v>#VALUE!</v>
      </c>
    </row>
    <row r="32" spans="1:14" x14ac:dyDescent="0.35">
      <c r="A32" s="28" t="str">
        <f>IF(BASE_DE_DATOS!A27="","",BASE_DE_DATOS!A27)</f>
        <v>26/07/2026</v>
      </c>
      <c r="B32" s="20" t="str">
        <f>IF(BASE_DE_DATOS!C27="","",BASE_DE_DATOS!C27)</f>
        <v/>
      </c>
      <c r="C32" s="20" t="str">
        <f>IF(BASE_DE_DATOS!D27="","",BASE_DE_DATOS!D27)</f>
        <v/>
      </c>
      <c r="D32" s="20" t="str">
        <f>IF(BASE_DE_DATOS!E27="","",BASE_DE_DATOS!E27)</f>
        <v/>
      </c>
      <c r="E32" s="20">
        <f>IF(BASE_DE_DATOS!G27="","",BASE_DE_DATOS!G27)</f>
        <v>23849</v>
      </c>
      <c r="F32" s="20" t="str">
        <f>IF(BASE_DE_DATOS!H27="","",BASE_DE_DATOS!H27)</f>
        <v/>
      </c>
      <c r="G32" s="20">
        <f>IF(BASE_DE_DATOS!J27="","",BASE_DE_DATOS!J27)</f>
        <v>23849</v>
      </c>
      <c r="H32" s="20" t="str">
        <f>IF(BASE_DE_DATOS!N27="","",BASE_DE_DATOS!N27)</f>
        <v/>
      </c>
      <c r="J32" s="21">
        <v>11.7</v>
      </c>
      <c r="K32" s="21" t="str">
        <f t="shared" si="0"/>
        <v/>
      </c>
      <c r="L32" s="21">
        <v>23.99</v>
      </c>
      <c r="M32" s="21" t="e">
        <f t="shared" si="1"/>
        <v>#VALUE!</v>
      </c>
      <c r="N32" s="21" t="e">
        <f t="shared" si="2"/>
        <v>#VALUE!</v>
      </c>
    </row>
    <row r="33" spans="1:14" x14ac:dyDescent="0.35">
      <c r="A33" s="28" t="str">
        <f>IF(BASE_DE_DATOS!A28="","",BASE_DE_DATOS!A28)</f>
        <v>27/07/2026</v>
      </c>
      <c r="B33" s="20" t="str">
        <f>IF(BASE_DE_DATOS!C28="","",BASE_DE_DATOS!C28)</f>
        <v/>
      </c>
      <c r="C33" s="20" t="str">
        <f>IF(BASE_DE_DATOS!D28="","",BASE_DE_DATOS!D28)</f>
        <v/>
      </c>
      <c r="D33" s="20" t="str">
        <f>IF(BASE_DE_DATOS!E28="","",BASE_DE_DATOS!E28)</f>
        <v/>
      </c>
      <c r="E33" s="20">
        <f>IF(BASE_DE_DATOS!G28="","",BASE_DE_DATOS!G28)</f>
        <v>23849</v>
      </c>
      <c r="F33" s="20" t="str">
        <f>IF(BASE_DE_DATOS!H28="","",BASE_DE_DATOS!H28)</f>
        <v/>
      </c>
      <c r="G33" s="20">
        <f>IF(BASE_DE_DATOS!J28="","",BASE_DE_DATOS!J28)</f>
        <v>23849</v>
      </c>
      <c r="H33" s="20" t="str">
        <f>IF(BASE_DE_DATOS!N28="","",BASE_DE_DATOS!N28)</f>
        <v/>
      </c>
      <c r="J33" s="21">
        <v>11.7</v>
      </c>
      <c r="K33" s="21" t="str">
        <f t="shared" si="0"/>
        <v/>
      </c>
      <c r="L33" s="21">
        <v>23.99</v>
      </c>
      <c r="M33" s="21" t="e">
        <f t="shared" si="1"/>
        <v>#VALUE!</v>
      </c>
      <c r="N33" s="21" t="e">
        <f t="shared" si="2"/>
        <v>#VALUE!</v>
      </c>
    </row>
    <row r="34" spans="1:14" x14ac:dyDescent="0.35">
      <c r="A34" s="28" t="str">
        <f>IF(BASE_DE_DATOS!A29="","",BASE_DE_DATOS!A29)</f>
        <v>28/07/2026</v>
      </c>
      <c r="B34" s="20" t="str">
        <f>IF(BASE_DE_DATOS!C29="","",BASE_DE_DATOS!C29)</f>
        <v/>
      </c>
      <c r="C34" s="20" t="str">
        <f>IF(BASE_DE_DATOS!D29="","",BASE_DE_DATOS!D29)</f>
        <v/>
      </c>
      <c r="D34" s="20" t="str">
        <f>IF(BASE_DE_DATOS!E29="","",BASE_DE_DATOS!E29)</f>
        <v/>
      </c>
      <c r="E34" s="20">
        <f>IF(BASE_DE_DATOS!G29="","",BASE_DE_DATOS!G29)</f>
        <v>23849</v>
      </c>
      <c r="F34" s="20" t="str">
        <f>IF(BASE_DE_DATOS!H29="","",BASE_DE_DATOS!H29)</f>
        <v/>
      </c>
      <c r="G34" s="20">
        <f>IF(BASE_DE_DATOS!J29="","",BASE_DE_DATOS!J29)</f>
        <v>23849</v>
      </c>
      <c r="H34" s="20" t="str">
        <f>IF(BASE_DE_DATOS!N29="","",BASE_DE_DATOS!N29)</f>
        <v/>
      </c>
      <c r="J34" s="21">
        <v>11.7</v>
      </c>
      <c r="K34" s="21" t="str">
        <f t="shared" si="0"/>
        <v/>
      </c>
      <c r="L34" s="21">
        <v>23.99</v>
      </c>
      <c r="M34" s="21" t="e">
        <f t="shared" si="1"/>
        <v>#VALUE!</v>
      </c>
      <c r="N34" s="21" t="e">
        <f t="shared" si="2"/>
        <v>#VALUE!</v>
      </c>
    </row>
    <row r="35" spans="1:14" x14ac:dyDescent="0.35">
      <c r="A35" s="28" t="str">
        <f>IF(BASE_DE_DATOS!A30="","",BASE_DE_DATOS!A30)</f>
        <v>29/07/2026</v>
      </c>
      <c r="B35" s="20" t="str">
        <f>IF(BASE_DE_DATOS!C30="","",BASE_DE_DATOS!C30)</f>
        <v/>
      </c>
      <c r="C35" s="20" t="str">
        <f>IF(BASE_DE_DATOS!D30="","",BASE_DE_DATOS!D30)</f>
        <v/>
      </c>
      <c r="D35" s="20" t="str">
        <f>IF(BASE_DE_DATOS!E30="","",BASE_DE_DATOS!E30)</f>
        <v/>
      </c>
      <c r="E35" s="20">
        <f>IF(BASE_DE_DATOS!G30="","",BASE_DE_DATOS!G30)</f>
        <v>23849</v>
      </c>
      <c r="F35" s="20" t="str">
        <f>IF(BASE_DE_DATOS!H30="","",BASE_DE_DATOS!H30)</f>
        <v/>
      </c>
      <c r="G35" s="20">
        <f>IF(BASE_DE_DATOS!J30="","",BASE_DE_DATOS!J30)</f>
        <v>23849</v>
      </c>
      <c r="H35" s="20" t="str">
        <f>IF(BASE_DE_DATOS!N30="","",BASE_DE_DATOS!N30)</f>
        <v/>
      </c>
      <c r="J35" s="21">
        <v>11.7</v>
      </c>
      <c r="K35" s="21" t="str">
        <f t="shared" si="0"/>
        <v/>
      </c>
      <c r="L35" s="21">
        <v>23.99</v>
      </c>
      <c r="M35" s="21" t="e">
        <f t="shared" si="1"/>
        <v>#VALUE!</v>
      </c>
      <c r="N35" s="21" t="e">
        <f t="shared" si="2"/>
        <v>#VALUE!</v>
      </c>
    </row>
    <row r="36" spans="1:14" x14ac:dyDescent="0.35">
      <c r="A36" s="28" t="str">
        <f>IF(BASE_DE_DATOS!A31="","",BASE_DE_DATOS!A31)</f>
        <v>30/07/2026</v>
      </c>
      <c r="B36" s="20" t="str">
        <f>IF(BASE_DE_DATOS!C31="","",BASE_DE_DATOS!C31)</f>
        <v/>
      </c>
      <c r="C36" s="20" t="str">
        <f>IF(BASE_DE_DATOS!D31="","",BASE_DE_DATOS!D31)</f>
        <v/>
      </c>
      <c r="D36" s="20" t="str">
        <f>IF(BASE_DE_DATOS!E31="","",BASE_DE_DATOS!E31)</f>
        <v/>
      </c>
      <c r="E36" s="20">
        <f>IF(BASE_DE_DATOS!G31="","",BASE_DE_DATOS!G31)</f>
        <v>23849</v>
      </c>
      <c r="F36" s="20" t="str">
        <f>IF(BASE_DE_DATOS!H31="","",BASE_DE_DATOS!H31)</f>
        <v/>
      </c>
      <c r="G36" s="20">
        <f>IF(BASE_DE_DATOS!J31="","",BASE_DE_DATOS!J31)</f>
        <v>23849</v>
      </c>
      <c r="H36" s="20" t="str">
        <f>IF(BASE_DE_DATOS!N31="","",BASE_DE_DATOS!N31)</f>
        <v/>
      </c>
      <c r="J36" s="21">
        <v>11.7</v>
      </c>
      <c r="K36" s="21" t="str">
        <f t="shared" si="0"/>
        <v/>
      </c>
      <c r="L36" s="21">
        <v>23.99</v>
      </c>
      <c r="M36" s="21" t="e">
        <f t="shared" si="1"/>
        <v>#VALUE!</v>
      </c>
      <c r="N36" s="21" t="e">
        <f t="shared" si="2"/>
        <v>#VALUE!</v>
      </c>
    </row>
    <row r="37" spans="1:14" x14ac:dyDescent="0.35">
      <c r="A37" s="28" t="str">
        <f>IF(BASE_DE_DATOS!A32="","",BASE_DE_DATOS!A32)</f>
        <v>31/07/2026</v>
      </c>
      <c r="B37" s="20" t="str">
        <f>IF(BASE_DE_DATOS!C32="","",BASE_DE_DATOS!C32)</f>
        <v/>
      </c>
      <c r="C37" s="20" t="str">
        <f>IF(BASE_DE_DATOS!D32="","",BASE_DE_DATOS!D32)</f>
        <v/>
      </c>
      <c r="D37" s="20" t="str">
        <f>IF(BASE_DE_DATOS!E32="","",BASE_DE_DATOS!E32)</f>
        <v/>
      </c>
      <c r="E37" s="20">
        <f>IF(BASE_DE_DATOS!G32="","",BASE_DE_DATOS!G32)</f>
        <v>23849</v>
      </c>
      <c r="F37" s="20" t="str">
        <f>IF(BASE_DE_DATOS!H32="","",BASE_DE_DATOS!H32)</f>
        <v/>
      </c>
      <c r="G37" s="20">
        <f>IF(BASE_DE_DATOS!J32="","",BASE_DE_DATOS!J32)</f>
        <v>23849</v>
      </c>
      <c r="H37" s="20" t="str">
        <f>IF(BASE_DE_DATOS!N32="","",BASE_DE_DATOS!N32)</f>
        <v/>
      </c>
      <c r="J37" s="21">
        <v>11.7</v>
      </c>
      <c r="K37" s="21" t="str">
        <f t="shared" si="0"/>
        <v/>
      </c>
      <c r="L37" s="21">
        <v>23.99</v>
      </c>
      <c r="M37" s="21" t="e">
        <f t="shared" si="1"/>
        <v>#VALUE!</v>
      </c>
      <c r="N37" s="21" t="e">
        <f t="shared" si="2"/>
        <v>#VALUE!</v>
      </c>
    </row>
    <row r="38" spans="1:14" x14ac:dyDescent="0.35">
      <c r="J38" s="21">
        <v>11.7</v>
      </c>
      <c r="K38" s="21" t="str">
        <f t="shared" si="0"/>
        <v/>
      </c>
      <c r="L38" s="21">
        <v>23.99</v>
      </c>
      <c r="M38" s="21" t="e">
        <f t="shared" si="1"/>
        <v>#VALUE!</v>
      </c>
      <c r="N38" s="21" t="e">
        <f t="shared" si="2"/>
        <v>#VALUE!</v>
      </c>
    </row>
    <row r="39" spans="1:14" x14ac:dyDescent="0.35">
      <c r="J39" s="21">
        <v>11.7</v>
      </c>
      <c r="K39" s="21" t="str">
        <f t="shared" si="0"/>
        <v/>
      </c>
      <c r="L39" s="21">
        <v>23.99</v>
      </c>
      <c r="M39" s="21" t="e">
        <f t="shared" si="1"/>
        <v>#VALUE!</v>
      </c>
      <c r="N39" s="21" t="e">
        <f t="shared" si="2"/>
        <v>#VALUE!</v>
      </c>
    </row>
  </sheetData>
  <mergeCells count="6">
    <mergeCell ref="J6:N7"/>
    <mergeCell ref="L8:L9"/>
    <mergeCell ref="K8:K9"/>
    <mergeCell ref="J8:J9"/>
    <mergeCell ref="M8:M9"/>
    <mergeCell ref="N8:N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3"/>
  <sheetViews>
    <sheetView zoomScale="50" zoomScaleNormal="50" workbookViewId="0">
      <selection activeCell="T3" sqref="T3"/>
    </sheetView>
  </sheetViews>
  <sheetFormatPr baseColWidth="10" defaultColWidth="8.7265625" defaultRowHeight="14.5" x14ac:dyDescent="0.35"/>
  <cols>
    <col min="1" max="1" width="15" style="29" customWidth="1"/>
    <col min="2" max="2" width="44.26953125" bestFit="1" customWidth="1"/>
    <col min="3" max="3" width="27.7265625" bestFit="1" customWidth="1"/>
    <col min="4" max="4" width="20.81640625" bestFit="1" customWidth="1"/>
    <col min="5" max="22" width="15" customWidth="1"/>
    <col min="23" max="23" width="17.54296875" bestFit="1" customWidth="1"/>
  </cols>
  <sheetData>
    <row r="1" spans="1:23" x14ac:dyDescent="0.35">
      <c r="A1" s="42" t="s">
        <v>96</v>
      </c>
      <c r="B1" s="38" t="s">
        <v>17</v>
      </c>
      <c r="C1" s="38" t="s">
        <v>18</v>
      </c>
      <c r="D1" s="38" t="s">
        <v>19</v>
      </c>
      <c r="E1" s="38" t="s">
        <v>20</v>
      </c>
      <c r="F1" s="38" t="s">
        <v>97</v>
      </c>
      <c r="G1" s="41"/>
      <c r="H1" s="38" t="s">
        <v>98</v>
      </c>
      <c r="I1" s="38" t="s">
        <v>99</v>
      </c>
      <c r="J1" s="38" t="s">
        <v>11</v>
      </c>
      <c r="K1" s="40"/>
      <c r="L1" s="40"/>
      <c r="M1" s="41"/>
      <c r="N1" s="38" t="s">
        <v>100</v>
      </c>
      <c r="O1" s="38" t="s">
        <v>101</v>
      </c>
      <c r="P1" s="38" t="s">
        <v>12</v>
      </c>
      <c r="Q1" s="40"/>
      <c r="R1" s="40"/>
      <c r="S1" s="41"/>
      <c r="T1" s="38" t="s">
        <v>13</v>
      </c>
      <c r="U1" s="38" t="s">
        <v>102</v>
      </c>
      <c r="V1" s="38" t="s">
        <v>21</v>
      </c>
      <c r="W1" s="38" t="s">
        <v>16</v>
      </c>
    </row>
    <row r="2" spans="1:23" x14ac:dyDescent="0.35">
      <c r="A2" s="39"/>
      <c r="B2" s="39"/>
      <c r="C2" s="39"/>
      <c r="D2" s="39"/>
      <c r="E2" s="39"/>
      <c r="F2" s="2" t="s">
        <v>103</v>
      </c>
      <c r="G2" s="2" t="s">
        <v>104</v>
      </c>
      <c r="H2" s="39"/>
      <c r="I2" s="39"/>
      <c r="J2" s="6" t="s">
        <v>105</v>
      </c>
      <c r="K2" s="6" t="s">
        <v>27</v>
      </c>
      <c r="L2" s="6" t="s">
        <v>36</v>
      </c>
      <c r="M2" s="6" t="s">
        <v>106</v>
      </c>
      <c r="N2" s="39"/>
      <c r="O2" s="39"/>
      <c r="P2" s="6" t="s">
        <v>105</v>
      </c>
      <c r="Q2" s="6" t="s">
        <v>27</v>
      </c>
      <c r="R2" s="6" t="s">
        <v>36</v>
      </c>
      <c r="S2" s="6" t="s">
        <v>106</v>
      </c>
      <c r="T2" s="39"/>
      <c r="U2" s="39"/>
      <c r="V2" s="39"/>
      <c r="W2" s="39"/>
    </row>
    <row r="3" spans="1:23" x14ac:dyDescent="0.35">
      <c r="A3" s="5" t="str">
        <f>IF(BASE_DE_DATOS!A2="","",BASE_DE_DATOS!A2)</f>
        <v>24/06/2026</v>
      </c>
      <c r="B3" s="20" t="str">
        <f>IF(BASE_DE_DATOS!R2="","",BASE_DE_DATOS!R2)</f>
        <v>VÍCTOR LEONARDO OLMEDO GONZALEZ</v>
      </c>
      <c r="C3" s="20" t="str">
        <f>IF(BASE_DE_DATOS!S2="","",BASE_DE_DATOS!S2)</f>
        <v>RESIDENCIA NAUCALPAN</v>
      </c>
      <c r="D3" s="20" t="str">
        <f>IF(BASE_DE_DATOS!T2="","",BASE_DE_DATOS!T2)</f>
        <v>NISSAN VERSA</v>
      </c>
      <c r="E3" s="20" t="str">
        <f>IF(BASE_DE_DATOS!U2="","",BASE_DE_DATOS!U2)</f>
        <v>MGX-543-A</v>
      </c>
      <c r="F3" s="20" t="str">
        <f>IF(BASE_DE_DATOS!O2="","",BASE_DE_DATOS!O2)</f>
        <v/>
      </c>
      <c r="G3" s="20" t="str">
        <f>IF(BASE_DE_DATOS!P2="","",BASE_DE_DATOS!P2)</f>
        <v/>
      </c>
      <c r="H3" s="20" t="str">
        <f>IF(BASE_DE_DATOS!F2="","",BASE_DE_DATOS!F2)</f>
        <v>09:00</v>
      </c>
      <c r="I3" s="23">
        <f>IF(BASE_DE_DATOS!G2="","",BASE_DE_DATOS!G2)</f>
        <v>23379</v>
      </c>
      <c r="J3" s="24" t="str">
        <f>IF(BASE_DE_DATOS!L2="v","X","")</f>
        <v/>
      </c>
      <c r="K3" s="24" t="str">
        <f>IF(BASE_DE_DATOS!L2="1/4","X","")</f>
        <v>X</v>
      </c>
      <c r="L3" s="24" t="str">
        <f>IF(BASE_DE_DATOS!L2="1/2","X","")</f>
        <v/>
      </c>
      <c r="M3" s="24" t="str">
        <f>IF(BASE_DE_DATOS!L2="1","X","")</f>
        <v/>
      </c>
      <c r="N3" s="25" t="str">
        <f>IF(BASE_DE_DATOS!I2="","",BASE_DE_DATOS!I2)</f>
        <v>19:00</v>
      </c>
      <c r="O3" s="23">
        <f>IF(BASE_DE_DATOS!J2="","",BASE_DE_DATOS!J2)</f>
        <v>23479</v>
      </c>
      <c r="P3" s="24" t="str">
        <f>IF(BASE_DE_DATOS!M2="v","X","")</f>
        <v/>
      </c>
      <c r="Q3" s="24" t="str">
        <f>IF(BASE_DE_DATOS!M2="1/4","X","")</f>
        <v>X</v>
      </c>
      <c r="R3" s="24" t="str">
        <f>IF(BASE_DE_DATOS!M2="1/2","X","")</f>
        <v/>
      </c>
      <c r="S3" s="24" t="str">
        <f>IF(BASE_DE_DATOS!M2="1","X","")</f>
        <v/>
      </c>
      <c r="T3" s="25">
        <f>IF(BASE_DE_DATOS!N2="","",BASE_DE_DATOS!N2)</f>
        <v>200</v>
      </c>
      <c r="U3" s="3"/>
      <c r="V3" s="20" t="str">
        <f>IF(BASE_DE_DATOS!V2="","",BASE_DE_DATOS!V2)</f>
        <v>0101P3402484l</v>
      </c>
      <c r="W3" s="20" t="str">
        <f>IF(BASE_DE_DATOS!Q2="","",BASE_DE_DATOS!Q2)</f>
        <v/>
      </c>
    </row>
    <row r="4" spans="1:23" x14ac:dyDescent="0.35">
      <c r="A4" s="5" t="str">
        <f>IF(BASE_DE_DATOS!A3="","",BASE_DE_DATOS!A3)</f>
        <v>25/06/2026</v>
      </c>
      <c r="B4" s="20" t="str">
        <f>IF(BASE_DE_DATOS!R3="","",BASE_DE_DATOS!R3)</f>
        <v>VÍCTOR LEONARDO OLMEDO GONZALEZ</v>
      </c>
      <c r="C4" s="20" t="str">
        <f>IF(BASE_DE_DATOS!S3="","",BASE_DE_DATOS!S3)</f>
        <v>RESIDENCIA NAUCALPAN</v>
      </c>
      <c r="D4" s="20" t="str">
        <f>IF(BASE_DE_DATOS!T3="","",BASE_DE_DATOS!T3)</f>
        <v>NISSAN VERSA</v>
      </c>
      <c r="E4" s="20" t="str">
        <f>IF(BASE_DE_DATOS!U3="","",BASE_DE_DATOS!U3)</f>
        <v>MGX-543-A</v>
      </c>
      <c r="F4" s="20" t="str">
        <f>IF(BASE_DE_DATOS!O3="","",BASE_DE_DATOS!O3)</f>
        <v/>
      </c>
      <c r="G4" s="20" t="str">
        <f>IF(BASE_DE_DATOS!P3="","",BASE_DE_DATOS!P3)</f>
        <v/>
      </c>
      <c r="H4" s="20" t="str">
        <f>IF(BASE_DE_DATOS!F3="","",BASE_DE_DATOS!F3)</f>
        <v>09:00</v>
      </c>
      <c r="I4" s="23">
        <f>IF(BASE_DE_DATOS!G3="","",BASE_DE_DATOS!G3)</f>
        <v>23479</v>
      </c>
      <c r="J4" s="24" t="str">
        <f>IF(BASE_DE_DATOS!L3="v","X","")</f>
        <v/>
      </c>
      <c r="K4" s="24" t="str">
        <f>IF(BASE_DE_DATOS!L3="1/4","X","")</f>
        <v/>
      </c>
      <c r="L4" s="24" t="str">
        <f>IF(BASE_DE_DATOS!L3="1/2","X","")</f>
        <v>X</v>
      </c>
      <c r="M4" s="24" t="str">
        <f>IF(BASE_DE_DATOS!L3="1","X","")</f>
        <v/>
      </c>
      <c r="N4" s="25" t="str">
        <f>IF(BASE_DE_DATOS!I3="","",BASE_DE_DATOS!I3)</f>
        <v>19:00</v>
      </c>
      <c r="O4" s="23">
        <f>IF(BASE_DE_DATOS!J3="","",BASE_DE_DATOS!J3)</f>
        <v>23479</v>
      </c>
      <c r="P4" s="24" t="str">
        <f>IF(BASE_DE_DATOS!M3="v","X","")</f>
        <v/>
      </c>
      <c r="Q4" s="24" t="str">
        <f>IF(BASE_DE_DATOS!M3="1/4","X","")</f>
        <v>X</v>
      </c>
      <c r="R4" s="24" t="str">
        <f>IF(BASE_DE_DATOS!M3="1/2","X","")</f>
        <v/>
      </c>
      <c r="S4" s="24" t="str">
        <f>IF(BASE_DE_DATOS!M3="1","X","")</f>
        <v/>
      </c>
      <c r="T4" s="25">
        <f>IF(BASE_DE_DATOS!N3="","",BASE_DE_DATOS!N3)</f>
        <v>300</v>
      </c>
      <c r="U4" s="3"/>
      <c r="V4" s="20" t="str">
        <f>IF(BASE_DE_DATOS!V3="","",BASE_DE_DATOS!V3)</f>
        <v>0101P3402484l</v>
      </c>
      <c r="W4" s="20" t="str">
        <f>IF(BASE_DE_DATOS!Q3="","",BASE_DE_DATOS!Q3)</f>
        <v/>
      </c>
    </row>
    <row r="5" spans="1:23" x14ac:dyDescent="0.35">
      <c r="A5" s="5" t="str">
        <f>IF(BASE_DE_DATOS!A4="","",BASE_DE_DATOS!A4)</f>
        <v>26/06/2026</v>
      </c>
      <c r="B5" s="20" t="str">
        <f>IF(BASE_DE_DATOS!R4="","",BASE_DE_DATOS!R4)</f>
        <v>VÍCTOR LEONARDO OLMEDO GONZALEZ</v>
      </c>
      <c r="C5" s="20" t="str">
        <f>IF(BASE_DE_DATOS!S4="","",BASE_DE_DATOS!S4)</f>
        <v>RESIDENCIA NAUCALPAN</v>
      </c>
      <c r="D5" s="20" t="str">
        <f>IF(BASE_DE_DATOS!T4="","",BASE_DE_DATOS!T4)</f>
        <v>NISSAN VERSA</v>
      </c>
      <c r="E5" s="20" t="str">
        <f>IF(BASE_DE_DATOS!U4="","",BASE_DE_DATOS!U4)</f>
        <v>MGX-543-A</v>
      </c>
      <c r="F5" s="20" t="str">
        <f>IF(BASE_DE_DATOS!O4="","",BASE_DE_DATOS!O4)</f>
        <v/>
      </c>
      <c r="G5" s="20" t="str">
        <f>IF(BASE_DE_DATOS!P4="","",BASE_DE_DATOS!P4)</f>
        <v/>
      </c>
      <c r="H5" s="20" t="str">
        <f>IF(BASE_DE_DATOS!F4="","",BASE_DE_DATOS!F4)</f>
        <v>09:00</v>
      </c>
      <c r="I5" s="23">
        <f>IF(BASE_DE_DATOS!G4="","",BASE_DE_DATOS!G4)</f>
        <v>23479</v>
      </c>
      <c r="J5" s="24" t="str">
        <f>IF(BASE_DE_DATOS!L4="v","X","")</f>
        <v/>
      </c>
      <c r="K5" s="24" t="str">
        <f>IF(BASE_DE_DATOS!L4="1/4","X","")</f>
        <v>X</v>
      </c>
      <c r="L5" s="24" t="str">
        <f>IF(BASE_DE_DATOS!L4="1/2","X","")</f>
        <v/>
      </c>
      <c r="M5" s="24" t="str">
        <f>IF(BASE_DE_DATOS!L4="1","X","")</f>
        <v/>
      </c>
      <c r="N5" s="25" t="str">
        <f>IF(BASE_DE_DATOS!I4="","",BASE_DE_DATOS!I4)</f>
        <v>19:00</v>
      </c>
      <c r="O5" s="23">
        <f>IF(BASE_DE_DATOS!J4="","",BASE_DE_DATOS!J4)</f>
        <v>23599</v>
      </c>
      <c r="P5" s="24" t="str">
        <f>IF(BASE_DE_DATOS!M4="v","X","")</f>
        <v/>
      </c>
      <c r="Q5" s="24" t="str">
        <f>IF(BASE_DE_DATOS!M4="1/4","X","")</f>
        <v>X</v>
      </c>
      <c r="R5" s="24" t="str">
        <f>IF(BASE_DE_DATOS!M4="1/2","X","")</f>
        <v/>
      </c>
      <c r="S5" s="24" t="str">
        <f>IF(BASE_DE_DATOS!M4="1","X","")</f>
        <v/>
      </c>
      <c r="T5" s="25">
        <f>IF(BASE_DE_DATOS!N4="","",BASE_DE_DATOS!N4)</f>
        <v>300</v>
      </c>
      <c r="U5" s="3"/>
      <c r="V5" s="20" t="str">
        <f>IF(BASE_DE_DATOS!V4="","",BASE_DE_DATOS!V4)</f>
        <v>0101P3402484l</v>
      </c>
      <c r="W5" s="20" t="str">
        <f>IF(BASE_DE_DATOS!Q4="","",BASE_DE_DATOS!Q4)</f>
        <v/>
      </c>
    </row>
    <row r="6" spans="1:23" x14ac:dyDescent="0.35">
      <c r="A6" s="5" t="str">
        <f>IF(BASE_DE_DATOS!A5="","",BASE_DE_DATOS!A5)</f>
        <v>29/06/2026</v>
      </c>
      <c r="B6" s="20" t="str">
        <f>IF(BASE_DE_DATOS!R5="","",BASE_DE_DATOS!R5)</f>
        <v>VÍCTOR LEONARDO OLMEDO GONZALEZ</v>
      </c>
      <c r="C6" s="20" t="str">
        <f>IF(BASE_DE_DATOS!S5="","",BASE_DE_DATOS!S5)</f>
        <v>RESIDENCIA NAUCALPAN</v>
      </c>
      <c r="D6" s="20" t="str">
        <f>IF(BASE_DE_DATOS!T5="","",BASE_DE_DATOS!T5)</f>
        <v>NISSAN VERSA</v>
      </c>
      <c r="E6" s="20" t="str">
        <f>IF(BASE_DE_DATOS!U5="","",BASE_DE_DATOS!U5)</f>
        <v>MGX-543-A</v>
      </c>
      <c r="F6" s="20" t="str">
        <f>IF(BASE_DE_DATOS!O5="","",BASE_DE_DATOS!O5)</f>
        <v/>
      </c>
      <c r="G6" s="20" t="str">
        <f>IF(BASE_DE_DATOS!P5="","",BASE_DE_DATOS!P5)</f>
        <v/>
      </c>
      <c r="H6" s="20" t="str">
        <f>IF(BASE_DE_DATOS!F5="","",BASE_DE_DATOS!F5)</f>
        <v>09:00</v>
      </c>
      <c r="I6" s="23">
        <f>IF(BASE_DE_DATOS!G5="","",BASE_DE_DATOS!G5)</f>
        <v>23599</v>
      </c>
      <c r="J6" s="24" t="str">
        <f>IF(BASE_DE_DATOS!L5="v","X","")</f>
        <v/>
      </c>
      <c r="K6" s="24" t="str">
        <f>IF(BASE_DE_DATOS!L5="1/4","X","")</f>
        <v>X</v>
      </c>
      <c r="L6" s="24" t="str">
        <f>IF(BASE_DE_DATOS!L5="1/2","X","")</f>
        <v/>
      </c>
      <c r="M6" s="24" t="str">
        <f>IF(BASE_DE_DATOS!L5="1","X","")</f>
        <v/>
      </c>
      <c r="N6" s="25" t="str">
        <f>IF(BASE_DE_DATOS!I5="","",BASE_DE_DATOS!I5)</f>
        <v>19:00</v>
      </c>
      <c r="O6" s="23">
        <f>IF(BASE_DE_DATOS!J5="","",BASE_DE_DATOS!J5)</f>
        <v>23799</v>
      </c>
      <c r="P6" s="24" t="str">
        <f>IF(BASE_DE_DATOS!M5="v","X","")</f>
        <v/>
      </c>
      <c r="Q6" s="24" t="str">
        <f>IF(BASE_DE_DATOS!M5="1/4","X","")</f>
        <v>X</v>
      </c>
      <c r="R6" s="24" t="str">
        <f>IF(BASE_DE_DATOS!M5="1/2","X","")</f>
        <v/>
      </c>
      <c r="S6" s="24" t="str">
        <f>IF(BASE_DE_DATOS!M5="1","X","")</f>
        <v/>
      </c>
      <c r="T6" s="25">
        <f>IF(BASE_DE_DATOS!N5="","",BASE_DE_DATOS!N5)</f>
        <v>200</v>
      </c>
      <c r="U6" s="3"/>
      <c r="V6" s="20" t="str">
        <f>IF(BASE_DE_DATOS!V5="","",BASE_DE_DATOS!V5)</f>
        <v>0101P3402484l</v>
      </c>
      <c r="W6" s="20" t="str">
        <f>IF(BASE_DE_DATOS!Q5="","",BASE_DE_DATOS!Q5)</f>
        <v/>
      </c>
    </row>
    <row r="7" spans="1:23" x14ac:dyDescent="0.35">
      <c r="A7" s="5" t="str">
        <f>IF(BASE_DE_DATOS!A6="","",BASE_DE_DATOS!A6)</f>
        <v>30/06/2026</v>
      </c>
      <c r="B7" s="20" t="str">
        <f>IF(BASE_DE_DATOS!R6="","",BASE_DE_DATOS!R6)</f>
        <v>VÍCTOR LEONARDO OLMEDO GONZALEZ</v>
      </c>
      <c r="C7" s="20" t="str">
        <f>IF(BASE_DE_DATOS!S6="","",BASE_DE_DATOS!S6)</f>
        <v>RESIDENCIA NAUCALPAN</v>
      </c>
      <c r="D7" s="20" t="str">
        <f>IF(BASE_DE_DATOS!T6="","",BASE_DE_DATOS!T6)</f>
        <v>NISSAN VERSA</v>
      </c>
      <c r="E7" s="20" t="str">
        <f>IF(BASE_DE_DATOS!U6="","",BASE_DE_DATOS!U6)</f>
        <v>MGX-543-A</v>
      </c>
      <c r="F7" s="20" t="str">
        <f>IF(BASE_DE_DATOS!O6="","",BASE_DE_DATOS!O6)</f>
        <v/>
      </c>
      <c r="G7" s="20" t="str">
        <f>IF(BASE_DE_DATOS!P6="","",BASE_DE_DATOS!P6)</f>
        <v/>
      </c>
      <c r="H7" s="20" t="str">
        <f>IF(BASE_DE_DATOS!F6="","",BASE_DE_DATOS!F6)</f>
        <v>09:00</v>
      </c>
      <c r="I7" s="23">
        <f>IF(BASE_DE_DATOS!G6="","",BASE_DE_DATOS!G6)</f>
        <v>23799</v>
      </c>
      <c r="J7" s="24" t="str">
        <f>IF(BASE_DE_DATOS!L6="v","X","")</f>
        <v/>
      </c>
      <c r="K7" s="24" t="str">
        <f>IF(BASE_DE_DATOS!L6="1/4","X","")</f>
        <v>X</v>
      </c>
      <c r="L7" s="24" t="str">
        <f>IF(BASE_DE_DATOS!L6="1/2","X","")</f>
        <v/>
      </c>
      <c r="M7" s="24" t="str">
        <f>IF(BASE_DE_DATOS!L6="1","X","")</f>
        <v/>
      </c>
      <c r="N7" s="25" t="str">
        <f>IF(BASE_DE_DATOS!I6="","",BASE_DE_DATOS!I6)</f>
        <v>19:00</v>
      </c>
      <c r="O7" s="23">
        <f>IF(BASE_DE_DATOS!J6="","",BASE_DE_DATOS!J6)</f>
        <v>23849</v>
      </c>
      <c r="P7" s="24" t="str">
        <f>IF(BASE_DE_DATOS!M6="v","X","")</f>
        <v/>
      </c>
      <c r="Q7" s="24" t="str">
        <f>IF(BASE_DE_DATOS!M6="1/4","X","")</f>
        <v>X</v>
      </c>
      <c r="R7" s="24" t="str">
        <f>IF(BASE_DE_DATOS!M6="1/2","X","")</f>
        <v/>
      </c>
      <c r="S7" s="24" t="str">
        <f>IF(BASE_DE_DATOS!M6="1","X","")</f>
        <v/>
      </c>
      <c r="T7" s="25">
        <f>IF(BASE_DE_DATOS!N6="","",BASE_DE_DATOS!N6)</f>
        <v>200</v>
      </c>
      <c r="U7" s="3"/>
      <c r="V7" s="20" t="str">
        <f>IF(BASE_DE_DATOS!V6="","",BASE_DE_DATOS!V6)</f>
        <v>0101P3402484l</v>
      </c>
      <c r="W7" s="20" t="str">
        <f>IF(BASE_DE_DATOS!Q6="","",BASE_DE_DATOS!Q6)</f>
        <v/>
      </c>
    </row>
    <row r="8" spans="1:23" x14ac:dyDescent="0.35">
      <c r="A8" s="5">
        <f>IF(BASE_DE_DATOS!A7="","",BASE_DE_DATOS!A7)</f>
        <v>46305</v>
      </c>
      <c r="B8" s="20" t="str">
        <f>IF(BASE_DE_DATOS!R7="","",BASE_DE_DATOS!R7)</f>
        <v>VÍCTOR LEONARDO OLMEDO GONZALEZ</v>
      </c>
      <c r="C8" s="20" t="str">
        <f>IF(BASE_DE_DATOS!S7="","",BASE_DE_DATOS!S7)</f>
        <v>RESIDENCIA NAUCALPAN</v>
      </c>
      <c r="D8" s="20" t="str">
        <f>IF(BASE_DE_DATOS!T7="","",BASE_DE_DATOS!T7)</f>
        <v>NISSAN VERSA</v>
      </c>
      <c r="E8" s="20" t="str">
        <f>IF(BASE_DE_DATOS!U7="","",BASE_DE_DATOS!U7)</f>
        <v>MGX-543-A</v>
      </c>
      <c r="F8" s="20" t="str">
        <f>IF(BASE_DE_DATOS!O7="","",BASE_DE_DATOS!O7)</f>
        <v/>
      </c>
      <c r="G8" s="20" t="str">
        <f>IF(BASE_DE_DATOS!P7="","",BASE_DE_DATOS!P7)</f>
        <v/>
      </c>
      <c r="H8" s="20" t="str">
        <f>IF(BASE_DE_DATOS!F7="","",BASE_DE_DATOS!F7)</f>
        <v>09:00</v>
      </c>
      <c r="I8" s="23">
        <f>IF(BASE_DE_DATOS!G7="","",BASE_DE_DATOS!G7)</f>
        <v>23849</v>
      </c>
      <c r="J8" s="24" t="str">
        <f>IF(BASE_DE_DATOS!L7="v","X","")</f>
        <v/>
      </c>
      <c r="K8" s="24" t="str">
        <f>IF(BASE_DE_DATOS!L7="1/4","X","")</f>
        <v/>
      </c>
      <c r="L8" s="24" t="str">
        <f>IF(BASE_DE_DATOS!L7="1/2","X","")</f>
        <v/>
      </c>
      <c r="M8" s="24" t="str">
        <f>IF(BASE_DE_DATOS!L7="1","X","")</f>
        <v/>
      </c>
      <c r="N8" s="25" t="str">
        <f>IF(BASE_DE_DATOS!I7="","",BASE_DE_DATOS!I7)</f>
        <v>19:00</v>
      </c>
      <c r="O8" s="23">
        <f>IF(BASE_DE_DATOS!J7="","",BASE_DE_DATOS!J7)</f>
        <v>23849</v>
      </c>
      <c r="P8" s="24" t="str">
        <f>IF(BASE_DE_DATOS!M7="v","X","")</f>
        <v/>
      </c>
      <c r="Q8" s="24" t="str">
        <f>IF(BASE_DE_DATOS!M7="1/4","X","")</f>
        <v/>
      </c>
      <c r="R8" s="24" t="str">
        <f>IF(BASE_DE_DATOS!M7="1/2","X","")</f>
        <v/>
      </c>
      <c r="S8" s="24" t="str">
        <f>IF(BASE_DE_DATOS!M7="1","X","")</f>
        <v/>
      </c>
      <c r="T8" s="25" t="str">
        <f>IF(BASE_DE_DATOS!N7="","",BASE_DE_DATOS!N7)</f>
        <v/>
      </c>
      <c r="U8" s="3"/>
      <c r="V8" s="20" t="str">
        <f>IF(BASE_DE_DATOS!V7="","",BASE_DE_DATOS!V7)</f>
        <v>0101P3402484l</v>
      </c>
      <c r="W8" s="20" t="str">
        <f>IF(BASE_DE_DATOS!Q7="","",BASE_DE_DATOS!Q7)</f>
        <v/>
      </c>
    </row>
    <row r="9" spans="1:23" x14ac:dyDescent="0.35">
      <c r="A9" s="5" t="str">
        <f>IF(BASE_DE_DATOS!A8="","",BASE_DE_DATOS!A8)</f>
        <v>07/07/2026</v>
      </c>
      <c r="B9" s="20" t="str">
        <f>IF(BASE_DE_DATOS!R8="","",BASE_DE_DATOS!R8)</f>
        <v>VÍCTOR LEONARDO OLMEDO GONZALEZ</v>
      </c>
      <c r="C9" s="20" t="str">
        <f>IF(BASE_DE_DATOS!S8="","",BASE_DE_DATOS!S8)</f>
        <v>RESIDENCIA NAUCALPAN</v>
      </c>
      <c r="D9" s="20" t="str">
        <f>IF(BASE_DE_DATOS!T8="","",BASE_DE_DATOS!T8)</f>
        <v>NISSAN VERSA</v>
      </c>
      <c r="E9" s="20" t="str">
        <f>IF(BASE_DE_DATOS!U8="","",BASE_DE_DATOS!U8)</f>
        <v>MGX-543-A</v>
      </c>
      <c r="F9" s="20" t="str">
        <f>IF(BASE_DE_DATOS!O8="","",BASE_DE_DATOS!O8)</f>
        <v/>
      </c>
      <c r="G9" s="20" t="str">
        <f>IF(BASE_DE_DATOS!P8="","",BASE_DE_DATOS!P8)</f>
        <v/>
      </c>
      <c r="H9" s="20" t="str">
        <f>IF(BASE_DE_DATOS!F8="","",BASE_DE_DATOS!F8)</f>
        <v>09:00</v>
      </c>
      <c r="I9" s="23">
        <f>IF(BASE_DE_DATOS!G8="","",BASE_DE_DATOS!G8)</f>
        <v>23849</v>
      </c>
      <c r="J9" s="24" t="str">
        <f>IF(BASE_DE_DATOS!L8="v","X","")</f>
        <v/>
      </c>
      <c r="K9" s="24" t="str">
        <f>IF(BASE_DE_DATOS!L8="1/4","X","")</f>
        <v/>
      </c>
      <c r="L9" s="24" t="str">
        <f>IF(BASE_DE_DATOS!L8="1/2","X","")</f>
        <v/>
      </c>
      <c r="M9" s="24" t="str">
        <f>IF(BASE_DE_DATOS!L8="1","X","")</f>
        <v/>
      </c>
      <c r="N9" s="25" t="str">
        <f>IF(BASE_DE_DATOS!I8="","",BASE_DE_DATOS!I8)</f>
        <v>19:00</v>
      </c>
      <c r="O9" s="23">
        <f>IF(BASE_DE_DATOS!J8="","",BASE_DE_DATOS!J8)</f>
        <v>23849</v>
      </c>
      <c r="P9" s="24" t="str">
        <f>IF(BASE_DE_DATOS!M8="v","X","")</f>
        <v/>
      </c>
      <c r="Q9" s="24" t="str">
        <f>IF(BASE_DE_DATOS!M8="1/4","X","")</f>
        <v/>
      </c>
      <c r="R9" s="24" t="str">
        <f>IF(BASE_DE_DATOS!M8="1/2","X","")</f>
        <v/>
      </c>
      <c r="S9" s="24" t="str">
        <f>IF(BASE_DE_DATOS!M8="1","X","")</f>
        <v/>
      </c>
      <c r="T9" s="25" t="str">
        <f>IF(BASE_DE_DATOS!N8="","",BASE_DE_DATOS!N8)</f>
        <v/>
      </c>
      <c r="U9" s="3"/>
      <c r="V9" s="20" t="str">
        <f>IF(BASE_DE_DATOS!V8="","",BASE_DE_DATOS!V8)</f>
        <v>0101P3402484l</v>
      </c>
      <c r="W9" s="20" t="str">
        <f>IF(BASE_DE_DATOS!Q8="","",BASE_DE_DATOS!Q8)</f>
        <v/>
      </c>
    </row>
    <row r="10" spans="1:23" x14ac:dyDescent="0.35">
      <c r="A10" s="5" t="str">
        <f>IF(BASE_DE_DATOS!A9="","",BASE_DE_DATOS!A9)</f>
        <v>08/07/2026</v>
      </c>
      <c r="B10" s="20" t="str">
        <f>IF(BASE_DE_DATOS!R9="","",BASE_DE_DATOS!R9)</f>
        <v>VÍCTOR LEONARDO OLMEDO GONZALEZ</v>
      </c>
      <c r="C10" s="20" t="str">
        <f>IF(BASE_DE_DATOS!S9="","",BASE_DE_DATOS!S9)</f>
        <v>RESIDENCIA NAUCALPAN</v>
      </c>
      <c r="D10" s="20" t="str">
        <f>IF(BASE_DE_DATOS!T9="","",BASE_DE_DATOS!T9)</f>
        <v>NISSAN VERSA</v>
      </c>
      <c r="E10" s="20" t="str">
        <f>IF(BASE_DE_DATOS!U9="","",BASE_DE_DATOS!U9)</f>
        <v>MGX-543-A</v>
      </c>
      <c r="F10" s="20" t="str">
        <f>IF(BASE_DE_DATOS!O9="","",BASE_DE_DATOS!O9)</f>
        <v/>
      </c>
      <c r="G10" s="20" t="str">
        <f>IF(BASE_DE_DATOS!P9="","",BASE_DE_DATOS!P9)</f>
        <v/>
      </c>
      <c r="H10" s="20" t="str">
        <f>IF(BASE_DE_DATOS!F9="","",BASE_DE_DATOS!F9)</f>
        <v>09:00</v>
      </c>
      <c r="I10" s="23">
        <f>IF(BASE_DE_DATOS!G9="","",BASE_DE_DATOS!G9)</f>
        <v>23849</v>
      </c>
      <c r="J10" s="24" t="str">
        <f>IF(BASE_DE_DATOS!L9="v","X","")</f>
        <v/>
      </c>
      <c r="K10" s="24" t="str">
        <f>IF(BASE_DE_DATOS!L9="1/4","X","")</f>
        <v/>
      </c>
      <c r="L10" s="24" t="str">
        <f>IF(BASE_DE_DATOS!L9="1/2","X","")</f>
        <v/>
      </c>
      <c r="M10" s="24" t="str">
        <f>IF(BASE_DE_DATOS!L9="1","X","")</f>
        <v/>
      </c>
      <c r="N10" s="25" t="str">
        <f>IF(BASE_DE_DATOS!I9="","",BASE_DE_DATOS!I9)</f>
        <v>19:00</v>
      </c>
      <c r="O10" s="23">
        <f>IF(BASE_DE_DATOS!J9="","",BASE_DE_DATOS!J9)</f>
        <v>23849</v>
      </c>
      <c r="P10" s="24" t="str">
        <f>IF(BASE_DE_DATOS!M9="v","X","")</f>
        <v/>
      </c>
      <c r="Q10" s="24" t="str">
        <f>IF(BASE_DE_DATOS!M9="1/4","X","")</f>
        <v/>
      </c>
      <c r="R10" s="24" t="str">
        <f>IF(BASE_DE_DATOS!M9="1/2","X","")</f>
        <v/>
      </c>
      <c r="S10" s="24" t="str">
        <f>IF(BASE_DE_DATOS!M9="1","X","")</f>
        <v/>
      </c>
      <c r="T10" s="25" t="str">
        <f>IF(BASE_DE_DATOS!N9="","",BASE_DE_DATOS!N9)</f>
        <v/>
      </c>
      <c r="U10" s="3"/>
      <c r="V10" s="20" t="str">
        <f>IF(BASE_DE_DATOS!V9="","",BASE_DE_DATOS!V9)</f>
        <v>0101P3402484l</v>
      </c>
      <c r="W10" s="20" t="str">
        <f>IF(BASE_DE_DATOS!Q9="","",BASE_DE_DATOS!Q9)</f>
        <v/>
      </c>
    </row>
    <row r="11" spans="1:23" x14ac:dyDescent="0.35">
      <c r="A11" s="5" t="str">
        <f>IF(BASE_DE_DATOS!A10="","",BASE_DE_DATOS!A10)</f>
        <v>09/07/2026</v>
      </c>
      <c r="B11" s="20" t="str">
        <f>IF(BASE_DE_DATOS!R10="","",BASE_DE_DATOS!R10)</f>
        <v>VÍCTOR LEONARDO OLMEDO GONZALEZ</v>
      </c>
      <c r="C11" s="20" t="str">
        <f>IF(BASE_DE_DATOS!S10="","",BASE_DE_DATOS!S10)</f>
        <v>RESIDENCIA NAUCALPAN</v>
      </c>
      <c r="D11" s="20" t="str">
        <f>IF(BASE_DE_DATOS!T10="","",BASE_DE_DATOS!T10)</f>
        <v>NISSAN VERSA</v>
      </c>
      <c r="E11" s="20" t="str">
        <f>IF(BASE_DE_DATOS!U10="","",BASE_DE_DATOS!U10)</f>
        <v>MGX-543-A</v>
      </c>
      <c r="F11" s="20" t="str">
        <f>IF(BASE_DE_DATOS!O10="","",BASE_DE_DATOS!O10)</f>
        <v/>
      </c>
      <c r="G11" s="20" t="str">
        <f>IF(BASE_DE_DATOS!P10="","",BASE_DE_DATOS!P10)</f>
        <v/>
      </c>
      <c r="H11" s="20" t="str">
        <f>IF(BASE_DE_DATOS!F10="","",BASE_DE_DATOS!F10)</f>
        <v>09:00</v>
      </c>
      <c r="I11" s="23">
        <f>IF(BASE_DE_DATOS!G10="","",BASE_DE_DATOS!G10)</f>
        <v>23849</v>
      </c>
      <c r="J11" s="24" t="str">
        <f>IF(BASE_DE_DATOS!L10="v","X","")</f>
        <v/>
      </c>
      <c r="K11" s="24" t="str">
        <f>IF(BASE_DE_DATOS!L10="1/4","X","")</f>
        <v/>
      </c>
      <c r="L11" s="24" t="str">
        <f>IF(BASE_DE_DATOS!L10="1/2","X","")</f>
        <v/>
      </c>
      <c r="M11" s="24" t="str">
        <f>IF(BASE_DE_DATOS!L10="1","X","")</f>
        <v/>
      </c>
      <c r="N11" s="25" t="str">
        <f>IF(BASE_DE_DATOS!I10="","",BASE_DE_DATOS!I10)</f>
        <v>19:00</v>
      </c>
      <c r="O11" s="23">
        <f>IF(BASE_DE_DATOS!J10="","",BASE_DE_DATOS!J10)</f>
        <v>23849</v>
      </c>
      <c r="P11" s="24" t="str">
        <f>IF(BASE_DE_DATOS!M10="v","X","")</f>
        <v/>
      </c>
      <c r="Q11" s="24" t="str">
        <f>IF(BASE_DE_DATOS!M10="1/4","X","")</f>
        <v/>
      </c>
      <c r="R11" s="24" t="str">
        <f>IF(BASE_DE_DATOS!M10="1/2","X","")</f>
        <v/>
      </c>
      <c r="S11" s="24" t="str">
        <f>IF(BASE_DE_DATOS!M10="1","X","")</f>
        <v/>
      </c>
      <c r="T11" s="25" t="str">
        <f>IF(BASE_DE_DATOS!N10="","",BASE_DE_DATOS!N10)</f>
        <v/>
      </c>
      <c r="U11" s="3"/>
      <c r="V11" s="20" t="str">
        <f>IF(BASE_DE_DATOS!V10="","",BASE_DE_DATOS!V10)</f>
        <v>0101P3402484l</v>
      </c>
      <c r="W11" s="20" t="str">
        <f>IF(BASE_DE_DATOS!Q10="","",BASE_DE_DATOS!Q10)</f>
        <v/>
      </c>
    </row>
    <row r="12" spans="1:23" x14ac:dyDescent="0.35">
      <c r="A12" s="5" t="str">
        <f>IF(BASE_DE_DATOS!A11="","",BASE_DE_DATOS!A11)</f>
        <v>10/07/2026</v>
      </c>
      <c r="B12" s="20" t="str">
        <f>IF(BASE_DE_DATOS!R11="","",BASE_DE_DATOS!R11)</f>
        <v>VÍCTOR LEONARDO OLMEDO GONZALEZ</v>
      </c>
      <c r="C12" s="20" t="str">
        <f>IF(BASE_DE_DATOS!S11="","",BASE_DE_DATOS!S11)</f>
        <v>RESIDENCIA NAUCALPAN</v>
      </c>
      <c r="D12" s="20" t="str">
        <f>IF(BASE_DE_DATOS!T11="","",BASE_DE_DATOS!T11)</f>
        <v>NISSAN VERSA</v>
      </c>
      <c r="E12" s="20" t="str">
        <f>IF(BASE_DE_DATOS!U11="","",BASE_DE_DATOS!U11)</f>
        <v>MGX-543-A</v>
      </c>
      <c r="F12" s="20" t="str">
        <f>IF(BASE_DE_DATOS!O11="","",BASE_DE_DATOS!O11)</f>
        <v/>
      </c>
      <c r="G12" s="20" t="str">
        <f>IF(BASE_DE_DATOS!P11="","",BASE_DE_DATOS!P11)</f>
        <v/>
      </c>
      <c r="H12" s="20" t="str">
        <f>IF(BASE_DE_DATOS!F11="","",BASE_DE_DATOS!F11)</f>
        <v>09:00</v>
      </c>
      <c r="I12" s="23">
        <f>IF(BASE_DE_DATOS!G11="","",BASE_DE_DATOS!G11)</f>
        <v>23849</v>
      </c>
      <c r="J12" s="24" t="str">
        <f>IF(BASE_DE_DATOS!L11="v","X","")</f>
        <v/>
      </c>
      <c r="K12" s="24" t="str">
        <f>IF(BASE_DE_DATOS!L11="1/4","X","")</f>
        <v/>
      </c>
      <c r="L12" s="24" t="str">
        <f>IF(BASE_DE_DATOS!L11="1/2","X","")</f>
        <v/>
      </c>
      <c r="M12" s="24" t="str">
        <f>IF(BASE_DE_DATOS!L11="1","X","")</f>
        <v/>
      </c>
      <c r="N12" s="25" t="str">
        <f>IF(BASE_DE_DATOS!I11="","",BASE_DE_DATOS!I11)</f>
        <v>19:00</v>
      </c>
      <c r="O12" s="23">
        <f>IF(BASE_DE_DATOS!J11="","",BASE_DE_DATOS!J11)</f>
        <v>23849</v>
      </c>
      <c r="P12" s="24" t="str">
        <f>IF(BASE_DE_DATOS!M11="v","X","")</f>
        <v/>
      </c>
      <c r="Q12" s="24" t="str">
        <f>IF(BASE_DE_DATOS!M11="1/4","X","")</f>
        <v/>
      </c>
      <c r="R12" s="24" t="str">
        <f>IF(BASE_DE_DATOS!M11="1/2","X","")</f>
        <v/>
      </c>
      <c r="S12" s="24" t="str">
        <f>IF(BASE_DE_DATOS!M11="1","X","")</f>
        <v/>
      </c>
      <c r="T12" s="25" t="str">
        <f>IF(BASE_DE_DATOS!N11="","",BASE_DE_DATOS!N11)</f>
        <v/>
      </c>
      <c r="U12" s="3"/>
      <c r="V12" s="20" t="str">
        <f>IF(BASE_DE_DATOS!V11="","",BASE_DE_DATOS!V11)</f>
        <v>0101P3402484l</v>
      </c>
      <c r="W12" s="20" t="str">
        <f>IF(BASE_DE_DATOS!Q11="","",BASE_DE_DATOS!Q11)</f>
        <v/>
      </c>
    </row>
    <row r="13" spans="1:23" x14ac:dyDescent="0.35">
      <c r="A13" s="5" t="str">
        <f>IF(BASE_DE_DATOS!A12="","",BASE_DE_DATOS!A12)</f>
        <v>11/07/2026</v>
      </c>
      <c r="B13" s="20" t="str">
        <f>IF(BASE_DE_DATOS!R12="","",BASE_DE_DATOS!R12)</f>
        <v>VÍCTOR LEONARDO OLMEDO GONZALEZ</v>
      </c>
      <c r="C13" s="20" t="str">
        <f>IF(BASE_DE_DATOS!S12="","",BASE_DE_DATOS!S12)</f>
        <v>RESIDENCIA NAUCALPAN</v>
      </c>
      <c r="D13" s="20" t="str">
        <f>IF(BASE_DE_DATOS!T12="","",BASE_DE_DATOS!T12)</f>
        <v>NISSAN VERSA</v>
      </c>
      <c r="E13" s="20" t="str">
        <f>IF(BASE_DE_DATOS!U12="","",BASE_DE_DATOS!U12)</f>
        <v>MGX-543-A</v>
      </c>
      <c r="F13" s="20" t="str">
        <f>IF(BASE_DE_DATOS!O12="","",BASE_DE_DATOS!O12)</f>
        <v/>
      </c>
      <c r="G13" s="20" t="str">
        <f>IF(BASE_DE_DATOS!P12="","",BASE_DE_DATOS!P12)</f>
        <v/>
      </c>
      <c r="H13" s="20" t="str">
        <f>IF(BASE_DE_DATOS!F12="","",BASE_DE_DATOS!F12)</f>
        <v>09:00</v>
      </c>
      <c r="I13" s="23">
        <f>IF(BASE_DE_DATOS!G12="","",BASE_DE_DATOS!G12)</f>
        <v>23849</v>
      </c>
      <c r="J13" s="24" t="str">
        <f>IF(BASE_DE_DATOS!L12="v","X","")</f>
        <v/>
      </c>
      <c r="K13" s="24" t="str">
        <f>IF(BASE_DE_DATOS!L12="1/4","X","")</f>
        <v/>
      </c>
      <c r="L13" s="24" t="str">
        <f>IF(BASE_DE_DATOS!L12="1/2","X","")</f>
        <v/>
      </c>
      <c r="M13" s="24" t="str">
        <f>IF(BASE_DE_DATOS!L12="1","X","")</f>
        <v/>
      </c>
      <c r="N13" s="25" t="str">
        <f>IF(BASE_DE_DATOS!I12="","",BASE_DE_DATOS!I12)</f>
        <v>19:00</v>
      </c>
      <c r="O13" s="23">
        <f>IF(BASE_DE_DATOS!J12="","",BASE_DE_DATOS!J12)</f>
        <v>23849</v>
      </c>
      <c r="P13" s="24" t="str">
        <f>IF(BASE_DE_DATOS!M12="v","X","")</f>
        <v/>
      </c>
      <c r="Q13" s="24" t="str">
        <f>IF(BASE_DE_DATOS!M12="1/4","X","")</f>
        <v/>
      </c>
      <c r="R13" s="24" t="str">
        <f>IF(BASE_DE_DATOS!M12="1/2","X","")</f>
        <v/>
      </c>
      <c r="S13" s="24" t="str">
        <f>IF(BASE_DE_DATOS!M12="1","X","")</f>
        <v/>
      </c>
      <c r="T13" s="25" t="str">
        <f>IF(BASE_DE_DATOS!N12="","",BASE_DE_DATOS!N12)</f>
        <v/>
      </c>
      <c r="U13" s="3"/>
      <c r="V13" s="20" t="str">
        <f>IF(BASE_DE_DATOS!V12="","",BASE_DE_DATOS!V12)</f>
        <v>0101P3402484l</v>
      </c>
      <c r="W13" s="20" t="str">
        <f>IF(BASE_DE_DATOS!Q12="","",BASE_DE_DATOS!Q12)</f>
        <v/>
      </c>
    </row>
    <row r="14" spans="1:23" x14ac:dyDescent="0.35">
      <c r="A14" s="5" t="str">
        <f>IF(BASE_DE_DATOS!A13="","",BASE_DE_DATOS!A13)</f>
        <v>12/07/2026</v>
      </c>
      <c r="B14" s="20" t="str">
        <f>IF(BASE_DE_DATOS!R13="","",BASE_DE_DATOS!R13)</f>
        <v>VÍCTOR LEONARDO OLMEDO GONZALEZ</v>
      </c>
      <c r="C14" s="20" t="str">
        <f>IF(BASE_DE_DATOS!S13="","",BASE_DE_DATOS!S13)</f>
        <v>RESIDENCIA NAUCALPAN</v>
      </c>
      <c r="D14" s="20" t="str">
        <f>IF(BASE_DE_DATOS!T13="","",BASE_DE_DATOS!T13)</f>
        <v>NISSAN VERSA</v>
      </c>
      <c r="E14" s="20" t="str">
        <f>IF(BASE_DE_DATOS!U13="","",BASE_DE_DATOS!U13)</f>
        <v>MGX-543-A</v>
      </c>
      <c r="F14" s="20" t="str">
        <f>IF(BASE_DE_DATOS!O13="","",BASE_DE_DATOS!O13)</f>
        <v/>
      </c>
      <c r="G14" s="20" t="str">
        <f>IF(BASE_DE_DATOS!P13="","",BASE_DE_DATOS!P13)</f>
        <v/>
      </c>
      <c r="H14" s="20" t="str">
        <f>IF(BASE_DE_DATOS!F13="","",BASE_DE_DATOS!F13)</f>
        <v>09:00</v>
      </c>
      <c r="I14" s="23">
        <f>IF(BASE_DE_DATOS!G13="","",BASE_DE_DATOS!G13)</f>
        <v>23849</v>
      </c>
      <c r="J14" s="24" t="str">
        <f>IF(BASE_DE_DATOS!L13="v","X","")</f>
        <v/>
      </c>
      <c r="K14" s="24" t="str">
        <f>IF(BASE_DE_DATOS!L13="1/4","X","")</f>
        <v/>
      </c>
      <c r="L14" s="24" t="str">
        <f>IF(BASE_DE_DATOS!L13="1/2","X","")</f>
        <v/>
      </c>
      <c r="M14" s="24" t="str">
        <f>IF(BASE_DE_DATOS!L13="1","X","")</f>
        <v/>
      </c>
      <c r="N14" s="25" t="str">
        <f>IF(BASE_DE_DATOS!I13="","",BASE_DE_DATOS!I13)</f>
        <v>19:00</v>
      </c>
      <c r="O14" s="23">
        <f>IF(BASE_DE_DATOS!J13="","",BASE_DE_DATOS!J13)</f>
        <v>23849</v>
      </c>
      <c r="P14" s="24" t="str">
        <f>IF(BASE_DE_DATOS!M13="v","X","")</f>
        <v/>
      </c>
      <c r="Q14" s="24" t="str">
        <f>IF(BASE_DE_DATOS!M13="1/4","X","")</f>
        <v/>
      </c>
      <c r="R14" s="24" t="str">
        <f>IF(BASE_DE_DATOS!M13="1/2","X","")</f>
        <v/>
      </c>
      <c r="S14" s="24" t="str">
        <f>IF(BASE_DE_DATOS!M13="1","X","")</f>
        <v/>
      </c>
      <c r="T14" s="25" t="str">
        <f>IF(BASE_DE_DATOS!N13="","",BASE_DE_DATOS!N13)</f>
        <v/>
      </c>
      <c r="U14" s="3"/>
      <c r="V14" s="20" t="str">
        <f>IF(BASE_DE_DATOS!V13="","",BASE_DE_DATOS!V13)</f>
        <v>0101P3402484l</v>
      </c>
      <c r="W14" s="20" t="str">
        <f>IF(BASE_DE_DATOS!Q13="","",BASE_DE_DATOS!Q13)</f>
        <v/>
      </c>
    </row>
    <row r="15" spans="1:23" x14ac:dyDescent="0.35">
      <c r="A15" s="5" t="str">
        <f>IF(BASE_DE_DATOS!A14="","",BASE_DE_DATOS!A14)</f>
        <v>13/07/2026</v>
      </c>
      <c r="B15" s="20" t="str">
        <f>IF(BASE_DE_DATOS!R14="","",BASE_DE_DATOS!R14)</f>
        <v>VÍCTOR LEONARDO OLMEDO GONZALEZ</v>
      </c>
      <c r="C15" s="20" t="str">
        <f>IF(BASE_DE_DATOS!S14="","",BASE_DE_DATOS!S14)</f>
        <v>RESIDENCIA NAUCALPAN</v>
      </c>
      <c r="D15" s="20" t="str">
        <f>IF(BASE_DE_DATOS!T14="","",BASE_DE_DATOS!T14)</f>
        <v>NISSAN VERSA</v>
      </c>
      <c r="E15" s="20" t="str">
        <f>IF(BASE_DE_DATOS!U14="","",BASE_DE_DATOS!U14)</f>
        <v>MGX-543-A</v>
      </c>
      <c r="F15" s="20" t="str">
        <f>IF(BASE_DE_DATOS!O14="","",BASE_DE_DATOS!O14)</f>
        <v/>
      </c>
      <c r="G15" s="20" t="str">
        <f>IF(BASE_DE_DATOS!P14="","",BASE_DE_DATOS!P14)</f>
        <v/>
      </c>
      <c r="H15" s="20" t="str">
        <f>IF(BASE_DE_DATOS!F14="","",BASE_DE_DATOS!F14)</f>
        <v>09:00</v>
      </c>
      <c r="I15" s="23">
        <f>IF(BASE_DE_DATOS!G14="","",BASE_DE_DATOS!G14)</f>
        <v>23849</v>
      </c>
      <c r="J15" s="24" t="str">
        <f>IF(BASE_DE_DATOS!L14="v","X","")</f>
        <v/>
      </c>
      <c r="K15" s="24" t="str">
        <f>IF(BASE_DE_DATOS!L14="1/4","X","")</f>
        <v/>
      </c>
      <c r="L15" s="24" t="str">
        <f>IF(BASE_DE_DATOS!L14="1/2","X","")</f>
        <v/>
      </c>
      <c r="M15" s="24" t="str">
        <f>IF(BASE_DE_DATOS!L14="1","X","")</f>
        <v/>
      </c>
      <c r="N15" s="25" t="str">
        <f>IF(BASE_DE_DATOS!I14="","",BASE_DE_DATOS!I14)</f>
        <v>19:00</v>
      </c>
      <c r="O15" s="23">
        <f>IF(BASE_DE_DATOS!J14="","",BASE_DE_DATOS!J14)</f>
        <v>23849</v>
      </c>
      <c r="P15" s="24" t="str">
        <f>IF(BASE_DE_DATOS!M14="v","X","")</f>
        <v/>
      </c>
      <c r="Q15" s="24" t="str">
        <f>IF(BASE_DE_DATOS!M14="1/4","X","")</f>
        <v/>
      </c>
      <c r="R15" s="24" t="str">
        <f>IF(BASE_DE_DATOS!M14="1/2","X","")</f>
        <v/>
      </c>
      <c r="S15" s="24" t="str">
        <f>IF(BASE_DE_DATOS!M14="1","X","")</f>
        <v/>
      </c>
      <c r="T15" s="25" t="str">
        <f>IF(BASE_DE_DATOS!N14="","",BASE_DE_DATOS!N14)</f>
        <v/>
      </c>
      <c r="U15" s="3"/>
      <c r="V15" s="20" t="str">
        <f>IF(BASE_DE_DATOS!V14="","",BASE_DE_DATOS!V14)</f>
        <v>0101P3402484l</v>
      </c>
      <c r="W15" s="20" t="str">
        <f>IF(BASE_DE_DATOS!Q14="","",BASE_DE_DATOS!Q14)</f>
        <v/>
      </c>
    </row>
    <row r="16" spans="1:23" x14ac:dyDescent="0.35">
      <c r="A16" s="5" t="str">
        <f>IF(BASE_DE_DATOS!A15="","",BASE_DE_DATOS!A15)</f>
        <v>14/07/2026</v>
      </c>
      <c r="B16" s="20" t="str">
        <f>IF(BASE_DE_DATOS!R15="","",BASE_DE_DATOS!R15)</f>
        <v>VÍCTOR LEONARDO OLMEDO GONZALEZ</v>
      </c>
      <c r="C16" s="20" t="str">
        <f>IF(BASE_DE_DATOS!S15="","",BASE_DE_DATOS!S15)</f>
        <v>RESIDENCIA NAUCALPAN</v>
      </c>
      <c r="D16" s="20" t="str">
        <f>IF(BASE_DE_DATOS!T15="","",BASE_DE_DATOS!T15)</f>
        <v>NISSAN VERSA</v>
      </c>
      <c r="E16" s="20" t="str">
        <f>IF(BASE_DE_DATOS!U15="","",BASE_DE_DATOS!U15)</f>
        <v>MGX-543-A</v>
      </c>
      <c r="F16" s="20" t="str">
        <f>IF(BASE_DE_DATOS!O15="","",BASE_DE_DATOS!O15)</f>
        <v/>
      </c>
      <c r="G16" s="20" t="str">
        <f>IF(BASE_DE_DATOS!P15="","",BASE_DE_DATOS!P15)</f>
        <v/>
      </c>
      <c r="H16" s="20" t="str">
        <f>IF(BASE_DE_DATOS!F15="","",BASE_DE_DATOS!F15)</f>
        <v>09:00</v>
      </c>
      <c r="I16" s="23">
        <f>IF(BASE_DE_DATOS!G15="","",BASE_DE_DATOS!G15)</f>
        <v>23849</v>
      </c>
      <c r="J16" s="24" t="str">
        <f>IF(BASE_DE_DATOS!L15="v","X","")</f>
        <v/>
      </c>
      <c r="K16" s="24" t="str">
        <f>IF(BASE_DE_DATOS!L15="1/4","X","")</f>
        <v/>
      </c>
      <c r="L16" s="24" t="str">
        <f>IF(BASE_DE_DATOS!L15="1/2","X","")</f>
        <v/>
      </c>
      <c r="M16" s="24" t="str">
        <f>IF(BASE_DE_DATOS!L15="1","X","")</f>
        <v/>
      </c>
      <c r="N16" s="25" t="str">
        <f>IF(BASE_DE_DATOS!I15="","",BASE_DE_DATOS!I15)</f>
        <v>19:00</v>
      </c>
      <c r="O16" s="23">
        <f>IF(BASE_DE_DATOS!J15="","",BASE_DE_DATOS!J15)</f>
        <v>23849</v>
      </c>
      <c r="P16" s="24" t="str">
        <f>IF(BASE_DE_DATOS!M15="v","X","")</f>
        <v/>
      </c>
      <c r="Q16" s="24" t="str">
        <f>IF(BASE_DE_DATOS!M15="1/4","X","")</f>
        <v/>
      </c>
      <c r="R16" s="24" t="str">
        <f>IF(BASE_DE_DATOS!M15="1/2","X","")</f>
        <v/>
      </c>
      <c r="S16" s="24" t="str">
        <f>IF(BASE_DE_DATOS!M15="1","X","")</f>
        <v/>
      </c>
      <c r="T16" s="25" t="str">
        <f>IF(BASE_DE_DATOS!N15="","",BASE_DE_DATOS!N15)</f>
        <v/>
      </c>
      <c r="U16" s="3"/>
      <c r="V16" s="20" t="str">
        <f>IF(BASE_DE_DATOS!V15="","",BASE_DE_DATOS!V15)</f>
        <v>0101P3402484l</v>
      </c>
      <c r="W16" s="20" t="str">
        <f>IF(BASE_DE_DATOS!Q15="","",BASE_DE_DATOS!Q15)</f>
        <v/>
      </c>
    </row>
    <row r="17" spans="1:23" x14ac:dyDescent="0.35">
      <c r="A17" s="5" t="str">
        <f>IF(BASE_DE_DATOS!A16="","",BASE_DE_DATOS!A16)</f>
        <v>15/07/2026</v>
      </c>
      <c r="B17" s="20" t="str">
        <f>IF(BASE_DE_DATOS!R16="","",BASE_DE_DATOS!R16)</f>
        <v>VÍCTOR LEONARDO OLMEDO GONZALEZ</v>
      </c>
      <c r="C17" s="20" t="str">
        <f>IF(BASE_DE_DATOS!S16="","",BASE_DE_DATOS!S16)</f>
        <v>RESIDENCIA NAUCALPAN</v>
      </c>
      <c r="D17" s="20" t="str">
        <f>IF(BASE_DE_DATOS!T16="","",BASE_DE_DATOS!T16)</f>
        <v>NISSAN VERSA</v>
      </c>
      <c r="E17" s="20" t="str">
        <f>IF(BASE_DE_DATOS!U16="","",BASE_DE_DATOS!U16)</f>
        <v>MGX-543-A</v>
      </c>
      <c r="F17" s="20" t="str">
        <f>IF(BASE_DE_DATOS!O16="","",BASE_DE_DATOS!O16)</f>
        <v/>
      </c>
      <c r="G17" s="20" t="str">
        <f>IF(BASE_DE_DATOS!P16="","",BASE_DE_DATOS!P16)</f>
        <v/>
      </c>
      <c r="H17" s="20" t="str">
        <f>IF(BASE_DE_DATOS!F16="","",BASE_DE_DATOS!F16)</f>
        <v>09:00</v>
      </c>
      <c r="I17" s="23">
        <f>IF(BASE_DE_DATOS!G16="","",BASE_DE_DATOS!G16)</f>
        <v>23849</v>
      </c>
      <c r="J17" s="24" t="str">
        <f>IF(BASE_DE_DATOS!L16="v","X","")</f>
        <v/>
      </c>
      <c r="K17" s="24" t="str">
        <f>IF(BASE_DE_DATOS!L16="1/4","X","")</f>
        <v/>
      </c>
      <c r="L17" s="24" t="str">
        <f>IF(BASE_DE_DATOS!L16="1/2","X","")</f>
        <v/>
      </c>
      <c r="M17" s="24" t="str">
        <f>IF(BASE_DE_DATOS!L16="1","X","")</f>
        <v/>
      </c>
      <c r="N17" s="25" t="str">
        <f>IF(BASE_DE_DATOS!I16="","",BASE_DE_DATOS!I16)</f>
        <v>19:00</v>
      </c>
      <c r="O17" s="23">
        <f>IF(BASE_DE_DATOS!J16="","",BASE_DE_DATOS!J16)</f>
        <v>23849</v>
      </c>
      <c r="P17" s="24" t="str">
        <f>IF(BASE_DE_DATOS!M16="v","X","")</f>
        <v/>
      </c>
      <c r="Q17" s="24" t="str">
        <f>IF(BASE_DE_DATOS!M16="1/4","X","")</f>
        <v/>
      </c>
      <c r="R17" s="24" t="str">
        <f>IF(BASE_DE_DATOS!M16="1/2","X","")</f>
        <v/>
      </c>
      <c r="S17" s="24" t="str">
        <f>IF(BASE_DE_DATOS!M16="1","X","")</f>
        <v/>
      </c>
      <c r="T17" s="25" t="str">
        <f>IF(BASE_DE_DATOS!N16="","",BASE_DE_DATOS!N16)</f>
        <v/>
      </c>
      <c r="U17" s="3"/>
      <c r="V17" s="20" t="str">
        <f>IF(BASE_DE_DATOS!V16="","",BASE_DE_DATOS!V16)</f>
        <v>0101P3402484l</v>
      </c>
      <c r="W17" s="20" t="str">
        <f>IF(BASE_DE_DATOS!Q16="","",BASE_DE_DATOS!Q16)</f>
        <v/>
      </c>
    </row>
    <row r="18" spans="1:23" x14ac:dyDescent="0.35">
      <c r="A18" s="5" t="str">
        <f>IF(BASE_DE_DATOS!A17="","",BASE_DE_DATOS!A17)</f>
        <v>16/07/2026</v>
      </c>
      <c r="B18" s="20" t="str">
        <f>IF(BASE_DE_DATOS!R17="","",BASE_DE_DATOS!R17)</f>
        <v>VÍCTOR LEONARDO OLMEDO GONZALEZ</v>
      </c>
      <c r="C18" s="20" t="str">
        <f>IF(BASE_DE_DATOS!S17="","",BASE_DE_DATOS!S17)</f>
        <v>RESIDENCIA NAUCALPAN</v>
      </c>
      <c r="D18" s="20" t="str">
        <f>IF(BASE_DE_DATOS!T17="","",BASE_DE_DATOS!T17)</f>
        <v>NISSAN VERSA</v>
      </c>
      <c r="E18" s="20" t="str">
        <f>IF(BASE_DE_DATOS!U17="","",BASE_DE_DATOS!U17)</f>
        <v>MGX-543-A</v>
      </c>
      <c r="F18" s="20" t="str">
        <f>IF(BASE_DE_DATOS!O17="","",BASE_DE_DATOS!O17)</f>
        <v/>
      </c>
      <c r="G18" s="20" t="str">
        <f>IF(BASE_DE_DATOS!P17="","",BASE_DE_DATOS!P17)</f>
        <v/>
      </c>
      <c r="H18" s="20" t="str">
        <f>IF(BASE_DE_DATOS!F17="","",BASE_DE_DATOS!F17)</f>
        <v>09:00</v>
      </c>
      <c r="I18" s="23">
        <f>IF(BASE_DE_DATOS!G17="","",BASE_DE_DATOS!G17)</f>
        <v>23849</v>
      </c>
      <c r="J18" s="24" t="str">
        <f>IF(BASE_DE_DATOS!L17="v","X","")</f>
        <v/>
      </c>
      <c r="K18" s="24" t="str">
        <f>IF(BASE_DE_DATOS!L17="1/4","X","")</f>
        <v/>
      </c>
      <c r="L18" s="24" t="str">
        <f>IF(BASE_DE_DATOS!L17="1/2","X","")</f>
        <v/>
      </c>
      <c r="M18" s="24" t="str">
        <f>IF(BASE_DE_DATOS!L17="1","X","")</f>
        <v/>
      </c>
      <c r="N18" s="25" t="str">
        <f>IF(BASE_DE_DATOS!I17="","",BASE_DE_DATOS!I17)</f>
        <v>19:00</v>
      </c>
      <c r="O18" s="23">
        <f>IF(BASE_DE_DATOS!J17="","",BASE_DE_DATOS!J17)</f>
        <v>23849</v>
      </c>
      <c r="P18" s="24" t="str">
        <f>IF(BASE_DE_DATOS!M17="v","X","")</f>
        <v/>
      </c>
      <c r="Q18" s="24" t="str">
        <f>IF(BASE_DE_DATOS!M17="1/4","X","")</f>
        <v/>
      </c>
      <c r="R18" s="24" t="str">
        <f>IF(BASE_DE_DATOS!M17="1/2","X","")</f>
        <v/>
      </c>
      <c r="S18" s="24" t="str">
        <f>IF(BASE_DE_DATOS!M17="1","X","")</f>
        <v/>
      </c>
      <c r="T18" s="25" t="str">
        <f>IF(BASE_DE_DATOS!N17="","",BASE_DE_DATOS!N17)</f>
        <v/>
      </c>
      <c r="U18" s="3"/>
      <c r="V18" s="20" t="str">
        <f>IF(BASE_DE_DATOS!V17="","",BASE_DE_DATOS!V17)</f>
        <v>0101P3402484l</v>
      </c>
      <c r="W18" s="20" t="str">
        <f>IF(BASE_DE_DATOS!Q17="","",BASE_DE_DATOS!Q17)</f>
        <v/>
      </c>
    </row>
    <row r="19" spans="1:23" x14ac:dyDescent="0.35">
      <c r="A19" s="5" t="str">
        <f>IF(BASE_DE_DATOS!A18="","",BASE_DE_DATOS!A18)</f>
        <v>17/07/2026</v>
      </c>
      <c r="B19" s="20" t="str">
        <f>IF(BASE_DE_DATOS!R18="","",BASE_DE_DATOS!R18)</f>
        <v>VÍCTOR LEONARDO OLMEDO GONZALEZ</v>
      </c>
      <c r="C19" s="20" t="str">
        <f>IF(BASE_DE_DATOS!S18="","",BASE_DE_DATOS!S18)</f>
        <v>RESIDENCIA NAUCALPAN</v>
      </c>
      <c r="D19" s="20" t="str">
        <f>IF(BASE_DE_DATOS!T18="","",BASE_DE_DATOS!T18)</f>
        <v>NISSAN VERSA</v>
      </c>
      <c r="E19" s="20" t="str">
        <f>IF(BASE_DE_DATOS!U18="","",BASE_DE_DATOS!U18)</f>
        <v>MGX-543-A</v>
      </c>
      <c r="F19" s="20" t="str">
        <f>IF(BASE_DE_DATOS!O18="","",BASE_DE_DATOS!O18)</f>
        <v/>
      </c>
      <c r="G19" s="20" t="str">
        <f>IF(BASE_DE_DATOS!P18="","",BASE_DE_DATOS!P18)</f>
        <v/>
      </c>
      <c r="H19" s="20" t="str">
        <f>IF(BASE_DE_DATOS!F18="","",BASE_DE_DATOS!F18)</f>
        <v>09:00</v>
      </c>
      <c r="I19" s="23">
        <f>IF(BASE_DE_DATOS!G18="","",BASE_DE_DATOS!G18)</f>
        <v>23849</v>
      </c>
      <c r="J19" s="24" t="str">
        <f>IF(BASE_DE_DATOS!L18="v","X","")</f>
        <v/>
      </c>
      <c r="K19" s="24" t="str">
        <f>IF(BASE_DE_DATOS!L18="1/4","X","")</f>
        <v/>
      </c>
      <c r="L19" s="24" t="str">
        <f>IF(BASE_DE_DATOS!L18="1/2","X","")</f>
        <v/>
      </c>
      <c r="M19" s="24" t="str">
        <f>IF(BASE_DE_DATOS!L18="1","X","")</f>
        <v/>
      </c>
      <c r="N19" s="25" t="str">
        <f>IF(BASE_DE_DATOS!I18="","",BASE_DE_DATOS!I18)</f>
        <v>19:00</v>
      </c>
      <c r="O19" s="23">
        <f>IF(BASE_DE_DATOS!J18="","",BASE_DE_DATOS!J18)</f>
        <v>23849</v>
      </c>
      <c r="P19" s="24" t="str">
        <f>IF(BASE_DE_DATOS!M18="v","X","")</f>
        <v/>
      </c>
      <c r="Q19" s="24" t="str">
        <f>IF(BASE_DE_DATOS!M18="1/4","X","")</f>
        <v/>
      </c>
      <c r="R19" s="24" t="str">
        <f>IF(BASE_DE_DATOS!M18="1/2","X","")</f>
        <v/>
      </c>
      <c r="S19" s="24" t="str">
        <f>IF(BASE_DE_DATOS!M18="1","X","")</f>
        <v/>
      </c>
      <c r="T19" s="25" t="str">
        <f>IF(BASE_DE_DATOS!N18="","",BASE_DE_DATOS!N18)</f>
        <v/>
      </c>
      <c r="U19" s="3"/>
      <c r="V19" s="20" t="str">
        <f>IF(BASE_DE_DATOS!V18="","",BASE_DE_DATOS!V18)</f>
        <v>0101P3402484l</v>
      </c>
      <c r="W19" s="20" t="str">
        <f>IF(BASE_DE_DATOS!Q18="","",BASE_DE_DATOS!Q18)</f>
        <v/>
      </c>
    </row>
    <row r="20" spans="1:23" x14ac:dyDescent="0.35">
      <c r="A20" s="5" t="str">
        <f>IF(BASE_DE_DATOS!A19="","",BASE_DE_DATOS!A19)</f>
        <v>18/07/2026</v>
      </c>
      <c r="B20" s="20" t="str">
        <f>IF(BASE_DE_DATOS!R19="","",BASE_DE_DATOS!R19)</f>
        <v>VÍCTOR LEONARDO OLMEDO GONZALEZ</v>
      </c>
      <c r="C20" s="20" t="str">
        <f>IF(BASE_DE_DATOS!S19="","",BASE_DE_DATOS!S19)</f>
        <v>RESIDENCIA NAUCALPAN</v>
      </c>
      <c r="D20" s="20" t="str">
        <f>IF(BASE_DE_DATOS!T19="","",BASE_DE_DATOS!T19)</f>
        <v>NISSAN VERSA</v>
      </c>
      <c r="E20" s="20" t="str">
        <f>IF(BASE_DE_DATOS!U19="","",BASE_DE_DATOS!U19)</f>
        <v>MGX-543-A</v>
      </c>
      <c r="F20" s="20" t="str">
        <f>IF(BASE_DE_DATOS!O19="","",BASE_DE_DATOS!O19)</f>
        <v/>
      </c>
      <c r="G20" s="20" t="str">
        <f>IF(BASE_DE_DATOS!P19="","",BASE_DE_DATOS!P19)</f>
        <v/>
      </c>
      <c r="H20" s="20" t="str">
        <f>IF(BASE_DE_DATOS!F19="","",BASE_DE_DATOS!F19)</f>
        <v>09:00</v>
      </c>
      <c r="I20" s="23">
        <f>IF(BASE_DE_DATOS!G19="","",BASE_DE_DATOS!G19)</f>
        <v>23849</v>
      </c>
      <c r="J20" s="24" t="str">
        <f>IF(BASE_DE_DATOS!L19="v","X","")</f>
        <v/>
      </c>
      <c r="K20" s="24" t="str">
        <f>IF(BASE_DE_DATOS!L19="1/4","X","")</f>
        <v/>
      </c>
      <c r="L20" s="24" t="str">
        <f>IF(BASE_DE_DATOS!L19="1/2","X","")</f>
        <v/>
      </c>
      <c r="M20" s="24" t="str">
        <f>IF(BASE_DE_DATOS!L19="1","X","")</f>
        <v/>
      </c>
      <c r="N20" s="25" t="str">
        <f>IF(BASE_DE_DATOS!I19="","",BASE_DE_DATOS!I19)</f>
        <v>19:00</v>
      </c>
      <c r="O20" s="23">
        <f>IF(BASE_DE_DATOS!J19="","",BASE_DE_DATOS!J19)</f>
        <v>23849</v>
      </c>
      <c r="P20" s="24" t="str">
        <f>IF(BASE_DE_DATOS!M19="v","X","")</f>
        <v/>
      </c>
      <c r="Q20" s="24" t="str">
        <f>IF(BASE_DE_DATOS!M19="1/4","X","")</f>
        <v/>
      </c>
      <c r="R20" s="24" t="str">
        <f>IF(BASE_DE_DATOS!M19="1/2","X","")</f>
        <v/>
      </c>
      <c r="S20" s="24" t="str">
        <f>IF(BASE_DE_DATOS!M19="1","X","")</f>
        <v/>
      </c>
      <c r="T20" s="25" t="str">
        <f>IF(BASE_DE_DATOS!N19="","",BASE_DE_DATOS!N19)</f>
        <v/>
      </c>
      <c r="U20" s="3"/>
      <c r="V20" s="20" t="str">
        <f>IF(BASE_DE_DATOS!V19="","",BASE_DE_DATOS!V19)</f>
        <v>0101P3402484l</v>
      </c>
      <c r="W20" s="20" t="str">
        <f>IF(BASE_DE_DATOS!Q19="","",BASE_DE_DATOS!Q19)</f>
        <v/>
      </c>
    </row>
    <row r="21" spans="1:23" x14ac:dyDescent="0.35">
      <c r="A21" s="5" t="str">
        <f>IF(BASE_DE_DATOS!A20="","",BASE_DE_DATOS!A20)</f>
        <v>19/07/2026</v>
      </c>
      <c r="B21" s="20" t="str">
        <f>IF(BASE_DE_DATOS!R20="","",BASE_DE_DATOS!R20)</f>
        <v>VÍCTOR LEONARDO OLMEDO GONZALEZ</v>
      </c>
      <c r="C21" s="20" t="str">
        <f>IF(BASE_DE_DATOS!S20="","",BASE_DE_DATOS!S20)</f>
        <v>RESIDENCIA NAUCALPAN</v>
      </c>
      <c r="D21" s="20" t="str">
        <f>IF(BASE_DE_DATOS!T20="","",BASE_DE_DATOS!T20)</f>
        <v>NISSAN VERSA</v>
      </c>
      <c r="E21" s="20" t="str">
        <f>IF(BASE_DE_DATOS!U20="","",BASE_DE_DATOS!U20)</f>
        <v>MGX-543-A</v>
      </c>
      <c r="F21" s="20" t="str">
        <f>IF(BASE_DE_DATOS!O20="","",BASE_DE_DATOS!O20)</f>
        <v/>
      </c>
      <c r="G21" s="20" t="str">
        <f>IF(BASE_DE_DATOS!P20="","",BASE_DE_DATOS!P20)</f>
        <v/>
      </c>
      <c r="H21" s="20" t="str">
        <f>IF(BASE_DE_DATOS!F20="","",BASE_DE_DATOS!F20)</f>
        <v>09:00</v>
      </c>
      <c r="I21" s="23">
        <f>IF(BASE_DE_DATOS!G20="","",BASE_DE_DATOS!G20)</f>
        <v>23849</v>
      </c>
      <c r="J21" s="24" t="str">
        <f>IF(BASE_DE_DATOS!L20="v","X","")</f>
        <v/>
      </c>
      <c r="K21" s="24" t="str">
        <f>IF(BASE_DE_DATOS!L20="1/4","X","")</f>
        <v/>
      </c>
      <c r="L21" s="24" t="str">
        <f>IF(BASE_DE_DATOS!L20="1/2","X","")</f>
        <v/>
      </c>
      <c r="M21" s="24" t="str">
        <f>IF(BASE_DE_DATOS!L20="1","X","")</f>
        <v/>
      </c>
      <c r="N21" s="25" t="str">
        <f>IF(BASE_DE_DATOS!I20="","",BASE_DE_DATOS!I20)</f>
        <v>19:00</v>
      </c>
      <c r="O21" s="23">
        <f>IF(BASE_DE_DATOS!J20="","",BASE_DE_DATOS!J20)</f>
        <v>23849</v>
      </c>
      <c r="P21" s="24" t="str">
        <f>IF(BASE_DE_DATOS!M20="v","X","")</f>
        <v/>
      </c>
      <c r="Q21" s="24" t="str">
        <f>IF(BASE_DE_DATOS!M20="1/4","X","")</f>
        <v/>
      </c>
      <c r="R21" s="24" t="str">
        <f>IF(BASE_DE_DATOS!M20="1/2","X","")</f>
        <v/>
      </c>
      <c r="S21" s="24" t="str">
        <f>IF(BASE_DE_DATOS!M20="1","X","")</f>
        <v/>
      </c>
      <c r="T21" s="25" t="str">
        <f>IF(BASE_DE_DATOS!N20="","",BASE_DE_DATOS!N20)</f>
        <v/>
      </c>
      <c r="U21" s="3"/>
      <c r="V21" s="20" t="str">
        <f>IF(BASE_DE_DATOS!V20="","",BASE_DE_DATOS!V20)</f>
        <v>0101P3402484l</v>
      </c>
      <c r="W21" s="20" t="str">
        <f>IF(BASE_DE_DATOS!Q20="","",BASE_DE_DATOS!Q20)</f>
        <v/>
      </c>
    </row>
    <row r="22" spans="1:23" x14ac:dyDescent="0.35">
      <c r="A22" s="5" t="str">
        <f>IF(BASE_DE_DATOS!A21="","",BASE_DE_DATOS!A21)</f>
        <v>20/07/2026</v>
      </c>
      <c r="B22" s="20" t="str">
        <f>IF(BASE_DE_DATOS!R21="","",BASE_DE_DATOS!R21)</f>
        <v>VÍCTOR LEONARDO OLMEDO GONZALEZ</v>
      </c>
      <c r="C22" s="20" t="str">
        <f>IF(BASE_DE_DATOS!S21="","",BASE_DE_DATOS!S21)</f>
        <v>RESIDENCIA NAUCALPAN</v>
      </c>
      <c r="D22" s="20" t="str">
        <f>IF(BASE_DE_DATOS!T21="","",BASE_DE_DATOS!T21)</f>
        <v>NISSAN VERSA</v>
      </c>
      <c r="E22" s="20" t="str">
        <f>IF(BASE_DE_DATOS!U21="","",BASE_DE_DATOS!U21)</f>
        <v>MGX-543-A</v>
      </c>
      <c r="F22" s="20" t="str">
        <f>IF(BASE_DE_DATOS!O21="","",BASE_DE_DATOS!O21)</f>
        <v/>
      </c>
      <c r="G22" s="20" t="str">
        <f>IF(BASE_DE_DATOS!P21="","",BASE_DE_DATOS!P21)</f>
        <v/>
      </c>
      <c r="H22" s="20" t="str">
        <f>IF(BASE_DE_DATOS!F21="","",BASE_DE_DATOS!F21)</f>
        <v>09:00</v>
      </c>
      <c r="I22" s="23">
        <f>IF(BASE_DE_DATOS!G21="","",BASE_DE_DATOS!G21)</f>
        <v>23849</v>
      </c>
      <c r="J22" s="24" t="str">
        <f>IF(BASE_DE_DATOS!L21="v","X","")</f>
        <v/>
      </c>
      <c r="K22" s="24" t="str">
        <f>IF(BASE_DE_DATOS!L21="1/4","X","")</f>
        <v/>
      </c>
      <c r="L22" s="24" t="str">
        <f>IF(BASE_DE_DATOS!L21="1/2","X","")</f>
        <v/>
      </c>
      <c r="M22" s="24" t="str">
        <f>IF(BASE_DE_DATOS!L21="1","X","")</f>
        <v/>
      </c>
      <c r="N22" s="25" t="str">
        <f>IF(BASE_DE_DATOS!I21="","",BASE_DE_DATOS!I21)</f>
        <v>19:00</v>
      </c>
      <c r="O22" s="23">
        <f>IF(BASE_DE_DATOS!J21="","",BASE_DE_DATOS!J21)</f>
        <v>23849</v>
      </c>
      <c r="P22" s="24" t="str">
        <f>IF(BASE_DE_DATOS!M21="v","X","")</f>
        <v/>
      </c>
      <c r="Q22" s="24" t="str">
        <f>IF(BASE_DE_DATOS!M21="1/4","X","")</f>
        <v/>
      </c>
      <c r="R22" s="24" t="str">
        <f>IF(BASE_DE_DATOS!M21="1/2","X","")</f>
        <v/>
      </c>
      <c r="S22" s="24" t="str">
        <f>IF(BASE_DE_DATOS!M21="1","X","")</f>
        <v/>
      </c>
      <c r="T22" s="25" t="str">
        <f>IF(BASE_DE_DATOS!N21="","",BASE_DE_DATOS!N21)</f>
        <v/>
      </c>
      <c r="U22" s="3"/>
      <c r="V22" s="20" t="str">
        <f>IF(BASE_DE_DATOS!V21="","",BASE_DE_DATOS!V21)</f>
        <v>0101P3402484l</v>
      </c>
      <c r="W22" s="20" t="str">
        <f>IF(BASE_DE_DATOS!Q21="","",BASE_DE_DATOS!Q21)</f>
        <v/>
      </c>
    </row>
    <row r="23" spans="1:23" x14ac:dyDescent="0.35">
      <c r="A23" s="5" t="str">
        <f>IF(BASE_DE_DATOS!A22="","",BASE_DE_DATOS!A22)</f>
        <v>21/07/2026</v>
      </c>
      <c r="B23" s="20" t="str">
        <f>IF(BASE_DE_DATOS!R22="","",BASE_DE_DATOS!R22)</f>
        <v>VÍCTOR LEONARDO OLMEDO GONZALEZ</v>
      </c>
      <c r="C23" s="20" t="str">
        <f>IF(BASE_DE_DATOS!S22="","",BASE_DE_DATOS!S22)</f>
        <v>RESIDENCIA NAUCALPAN</v>
      </c>
      <c r="D23" s="20" t="str">
        <f>IF(BASE_DE_DATOS!T22="","",BASE_DE_DATOS!T22)</f>
        <v>NISSAN VERSA</v>
      </c>
      <c r="E23" s="20" t="str">
        <f>IF(BASE_DE_DATOS!U22="","",BASE_DE_DATOS!U22)</f>
        <v>MGX-543-A</v>
      </c>
      <c r="F23" s="20" t="str">
        <f>IF(BASE_DE_DATOS!O22="","",BASE_DE_DATOS!O22)</f>
        <v/>
      </c>
      <c r="G23" s="20" t="str">
        <f>IF(BASE_DE_DATOS!P22="","",BASE_DE_DATOS!P22)</f>
        <v/>
      </c>
      <c r="H23" s="20" t="str">
        <f>IF(BASE_DE_DATOS!F22="","",BASE_DE_DATOS!F22)</f>
        <v>09:00</v>
      </c>
      <c r="I23" s="23">
        <f>IF(BASE_DE_DATOS!G22="","",BASE_DE_DATOS!G22)</f>
        <v>23849</v>
      </c>
      <c r="J23" s="24" t="str">
        <f>IF(BASE_DE_DATOS!L22="v","X","")</f>
        <v/>
      </c>
      <c r="K23" s="24" t="str">
        <f>IF(BASE_DE_DATOS!L22="1/4","X","")</f>
        <v/>
      </c>
      <c r="L23" s="24" t="str">
        <f>IF(BASE_DE_DATOS!L22="1/2","X","")</f>
        <v/>
      </c>
      <c r="M23" s="24" t="str">
        <f>IF(BASE_DE_DATOS!L22="1","X","")</f>
        <v/>
      </c>
      <c r="N23" s="25" t="str">
        <f>IF(BASE_DE_DATOS!I22="","",BASE_DE_DATOS!I22)</f>
        <v>19:00</v>
      </c>
      <c r="O23" s="23">
        <f>IF(BASE_DE_DATOS!J22="","",BASE_DE_DATOS!J22)</f>
        <v>23849</v>
      </c>
      <c r="P23" s="24" t="str">
        <f>IF(BASE_DE_DATOS!M22="v","X","")</f>
        <v/>
      </c>
      <c r="Q23" s="24" t="str">
        <f>IF(BASE_DE_DATOS!M22="1/4","X","")</f>
        <v/>
      </c>
      <c r="R23" s="24" t="str">
        <f>IF(BASE_DE_DATOS!M22="1/2","X","")</f>
        <v/>
      </c>
      <c r="S23" s="24" t="str">
        <f>IF(BASE_DE_DATOS!M22="1","X","")</f>
        <v/>
      </c>
      <c r="T23" s="25" t="str">
        <f>IF(BASE_DE_DATOS!N22="","",BASE_DE_DATOS!N22)</f>
        <v/>
      </c>
      <c r="U23" s="3"/>
      <c r="V23" s="20" t="str">
        <f>IF(BASE_DE_DATOS!V22="","",BASE_DE_DATOS!V22)</f>
        <v>0101P3402484l</v>
      </c>
      <c r="W23" s="20" t="str">
        <f>IF(BASE_DE_DATOS!Q22="","",BASE_DE_DATOS!Q22)</f>
        <v/>
      </c>
    </row>
    <row r="24" spans="1:23" x14ac:dyDescent="0.35">
      <c r="A24" s="5" t="str">
        <f>IF(BASE_DE_DATOS!A23="","",BASE_DE_DATOS!A23)</f>
        <v>22/07/2026</v>
      </c>
      <c r="B24" s="20" t="str">
        <f>IF(BASE_DE_DATOS!R23="","",BASE_DE_DATOS!R23)</f>
        <v>VÍCTOR LEONARDO OLMEDO GONZALEZ</v>
      </c>
      <c r="C24" s="20" t="str">
        <f>IF(BASE_DE_DATOS!S23="","",BASE_DE_DATOS!S23)</f>
        <v>RESIDENCIA NAUCALPAN</v>
      </c>
      <c r="D24" s="20" t="str">
        <f>IF(BASE_DE_DATOS!T23="","",BASE_DE_DATOS!T23)</f>
        <v>NISSAN VERSA</v>
      </c>
      <c r="E24" s="20" t="str">
        <f>IF(BASE_DE_DATOS!U23="","",BASE_DE_DATOS!U23)</f>
        <v>MGX-543-A</v>
      </c>
      <c r="F24" s="20" t="str">
        <f>IF(BASE_DE_DATOS!O23="","",BASE_DE_DATOS!O23)</f>
        <v/>
      </c>
      <c r="G24" s="20" t="str">
        <f>IF(BASE_DE_DATOS!P23="","",BASE_DE_DATOS!P23)</f>
        <v/>
      </c>
      <c r="H24" s="20" t="str">
        <f>IF(BASE_DE_DATOS!F23="","",BASE_DE_DATOS!F23)</f>
        <v>09:00</v>
      </c>
      <c r="I24" s="23">
        <f>IF(BASE_DE_DATOS!G23="","",BASE_DE_DATOS!G23)</f>
        <v>23849</v>
      </c>
      <c r="J24" s="24" t="str">
        <f>IF(BASE_DE_DATOS!L23="v","X","")</f>
        <v/>
      </c>
      <c r="K24" s="24" t="str">
        <f>IF(BASE_DE_DATOS!L23="1/4","X","")</f>
        <v/>
      </c>
      <c r="L24" s="24" t="str">
        <f>IF(BASE_DE_DATOS!L23="1/2","X","")</f>
        <v/>
      </c>
      <c r="M24" s="24" t="str">
        <f>IF(BASE_DE_DATOS!L23="1","X","")</f>
        <v/>
      </c>
      <c r="N24" s="25" t="str">
        <f>IF(BASE_DE_DATOS!I23="","",BASE_DE_DATOS!I23)</f>
        <v>19:00</v>
      </c>
      <c r="O24" s="23">
        <f>IF(BASE_DE_DATOS!J23="","",BASE_DE_DATOS!J23)</f>
        <v>23849</v>
      </c>
      <c r="P24" s="24" t="str">
        <f>IF(BASE_DE_DATOS!M23="v","X","")</f>
        <v/>
      </c>
      <c r="Q24" s="24" t="str">
        <f>IF(BASE_DE_DATOS!M23="1/4","X","")</f>
        <v/>
      </c>
      <c r="R24" s="24" t="str">
        <f>IF(BASE_DE_DATOS!M23="1/2","X","")</f>
        <v/>
      </c>
      <c r="S24" s="24" t="str">
        <f>IF(BASE_DE_DATOS!M23="1","X","")</f>
        <v/>
      </c>
      <c r="T24" s="25" t="str">
        <f>IF(BASE_DE_DATOS!N23="","",BASE_DE_DATOS!N23)</f>
        <v/>
      </c>
      <c r="U24" s="3"/>
      <c r="V24" s="20" t="str">
        <f>IF(BASE_DE_DATOS!V23="","",BASE_DE_DATOS!V23)</f>
        <v>0101P3402484l</v>
      </c>
      <c r="W24" s="20" t="str">
        <f>IF(BASE_DE_DATOS!Q23="","",BASE_DE_DATOS!Q23)</f>
        <v/>
      </c>
    </row>
    <row r="25" spans="1:23" x14ac:dyDescent="0.35">
      <c r="A25" s="5" t="str">
        <f>IF(BASE_DE_DATOS!A24="","",BASE_DE_DATOS!A24)</f>
        <v>23/07/2026</v>
      </c>
      <c r="B25" s="20" t="str">
        <f>IF(BASE_DE_DATOS!R24="","",BASE_DE_DATOS!R24)</f>
        <v>VÍCTOR LEONARDO OLMEDO GONZALEZ</v>
      </c>
      <c r="C25" s="20" t="str">
        <f>IF(BASE_DE_DATOS!S24="","",BASE_DE_DATOS!S24)</f>
        <v>RESIDENCIA NAUCALPAN</v>
      </c>
      <c r="D25" s="20" t="str">
        <f>IF(BASE_DE_DATOS!T24="","",BASE_DE_DATOS!T24)</f>
        <v>NISSAN VERSA</v>
      </c>
      <c r="E25" s="20" t="str">
        <f>IF(BASE_DE_DATOS!U24="","",BASE_DE_DATOS!U24)</f>
        <v>MGX-543-A</v>
      </c>
      <c r="F25" s="20" t="str">
        <f>IF(BASE_DE_DATOS!O24="","",BASE_DE_DATOS!O24)</f>
        <v/>
      </c>
      <c r="G25" s="20" t="str">
        <f>IF(BASE_DE_DATOS!P24="","",BASE_DE_DATOS!P24)</f>
        <v/>
      </c>
      <c r="H25" s="20" t="str">
        <f>IF(BASE_DE_DATOS!F24="","",BASE_DE_DATOS!F24)</f>
        <v>09:00</v>
      </c>
      <c r="I25" s="23">
        <f>IF(BASE_DE_DATOS!G24="","",BASE_DE_DATOS!G24)</f>
        <v>23849</v>
      </c>
      <c r="J25" s="24" t="str">
        <f>IF(BASE_DE_DATOS!L24="v","X","")</f>
        <v/>
      </c>
      <c r="K25" s="24" t="str">
        <f>IF(BASE_DE_DATOS!L24="1/4","X","")</f>
        <v/>
      </c>
      <c r="L25" s="24" t="str">
        <f>IF(BASE_DE_DATOS!L24="1/2","X","")</f>
        <v/>
      </c>
      <c r="M25" s="24" t="str">
        <f>IF(BASE_DE_DATOS!L24="1","X","")</f>
        <v/>
      </c>
      <c r="N25" s="25" t="str">
        <f>IF(BASE_DE_DATOS!I24="","",BASE_DE_DATOS!I24)</f>
        <v>19:00</v>
      </c>
      <c r="O25" s="23">
        <f>IF(BASE_DE_DATOS!J24="","",BASE_DE_DATOS!J24)</f>
        <v>23849</v>
      </c>
      <c r="P25" s="24" t="str">
        <f>IF(BASE_DE_DATOS!M24="v","X","")</f>
        <v/>
      </c>
      <c r="Q25" s="24" t="str">
        <f>IF(BASE_DE_DATOS!M24="1/4","X","")</f>
        <v/>
      </c>
      <c r="R25" s="24" t="str">
        <f>IF(BASE_DE_DATOS!M24="1/2","X","")</f>
        <v/>
      </c>
      <c r="S25" s="24" t="str">
        <f>IF(BASE_DE_DATOS!M24="1","X","")</f>
        <v/>
      </c>
      <c r="T25" s="25" t="str">
        <f>IF(BASE_DE_DATOS!N24="","",BASE_DE_DATOS!N24)</f>
        <v/>
      </c>
      <c r="U25" s="3"/>
      <c r="V25" s="20" t="str">
        <f>IF(BASE_DE_DATOS!V24="","",BASE_DE_DATOS!V24)</f>
        <v>0101P3402484l</v>
      </c>
      <c r="W25" s="20" t="str">
        <f>IF(BASE_DE_DATOS!Q24="","",BASE_DE_DATOS!Q24)</f>
        <v/>
      </c>
    </row>
    <row r="26" spans="1:23" x14ac:dyDescent="0.35">
      <c r="A26" s="5" t="str">
        <f>IF(BASE_DE_DATOS!A25="","",BASE_DE_DATOS!A25)</f>
        <v>24/07/2026</v>
      </c>
      <c r="B26" s="20" t="str">
        <f>IF(BASE_DE_DATOS!R25="","",BASE_DE_DATOS!R25)</f>
        <v>VÍCTOR LEONARDO OLMEDO GONZALEZ</v>
      </c>
      <c r="C26" s="20" t="str">
        <f>IF(BASE_DE_DATOS!S25="","",BASE_DE_DATOS!S25)</f>
        <v>RESIDENCIA NAUCALPAN</v>
      </c>
      <c r="D26" s="20" t="str">
        <f>IF(BASE_DE_DATOS!T25="","",BASE_DE_DATOS!T25)</f>
        <v>NISSAN VERSA</v>
      </c>
      <c r="E26" s="20" t="str">
        <f>IF(BASE_DE_DATOS!U25="","",BASE_DE_DATOS!U25)</f>
        <v>MGX-543-A</v>
      </c>
      <c r="F26" s="20" t="str">
        <f>IF(BASE_DE_DATOS!O25="","",BASE_DE_DATOS!O25)</f>
        <v/>
      </c>
      <c r="G26" s="20" t="str">
        <f>IF(BASE_DE_DATOS!P25="","",BASE_DE_DATOS!P25)</f>
        <v/>
      </c>
      <c r="H26" s="20" t="str">
        <f>IF(BASE_DE_DATOS!F25="","",BASE_DE_DATOS!F25)</f>
        <v>09:00</v>
      </c>
      <c r="I26" s="23">
        <f>IF(BASE_DE_DATOS!G25="","",BASE_DE_DATOS!G25)</f>
        <v>23849</v>
      </c>
      <c r="J26" s="24" t="str">
        <f>IF(BASE_DE_DATOS!L25="v","X","")</f>
        <v/>
      </c>
      <c r="K26" s="24" t="str">
        <f>IF(BASE_DE_DATOS!L25="1/4","X","")</f>
        <v/>
      </c>
      <c r="L26" s="24" t="str">
        <f>IF(BASE_DE_DATOS!L25="1/2","X","")</f>
        <v/>
      </c>
      <c r="M26" s="24" t="str">
        <f>IF(BASE_DE_DATOS!L25="1","X","")</f>
        <v/>
      </c>
      <c r="N26" s="25" t="str">
        <f>IF(BASE_DE_DATOS!I25="","",BASE_DE_DATOS!I25)</f>
        <v>19:00</v>
      </c>
      <c r="O26" s="23">
        <f>IF(BASE_DE_DATOS!J25="","",BASE_DE_DATOS!J25)</f>
        <v>23849</v>
      </c>
      <c r="P26" s="24" t="str">
        <f>IF(BASE_DE_DATOS!M25="v","X","")</f>
        <v/>
      </c>
      <c r="Q26" s="24" t="str">
        <f>IF(BASE_DE_DATOS!M25="1/4","X","")</f>
        <v/>
      </c>
      <c r="R26" s="24" t="str">
        <f>IF(BASE_DE_DATOS!M25="1/2","X","")</f>
        <v/>
      </c>
      <c r="S26" s="24" t="str">
        <f>IF(BASE_DE_DATOS!M25="1","X","")</f>
        <v/>
      </c>
      <c r="T26" s="25" t="str">
        <f>IF(BASE_DE_DATOS!N25="","",BASE_DE_DATOS!N25)</f>
        <v/>
      </c>
      <c r="U26" s="3"/>
      <c r="V26" s="20" t="str">
        <f>IF(BASE_DE_DATOS!V25="","",BASE_DE_DATOS!V25)</f>
        <v>0101P3402484l</v>
      </c>
      <c r="W26" s="20" t="str">
        <f>IF(BASE_DE_DATOS!Q25="","",BASE_DE_DATOS!Q25)</f>
        <v/>
      </c>
    </row>
    <row r="27" spans="1:23" x14ac:dyDescent="0.35">
      <c r="A27" s="5" t="str">
        <f>IF(BASE_DE_DATOS!A26="","",BASE_DE_DATOS!A26)</f>
        <v>25/07/2026</v>
      </c>
      <c r="B27" s="20" t="str">
        <f>IF(BASE_DE_DATOS!R26="","",BASE_DE_DATOS!R26)</f>
        <v>VÍCTOR LEONARDO OLMEDO GONZALEZ</v>
      </c>
      <c r="C27" s="20" t="str">
        <f>IF(BASE_DE_DATOS!S26="","",BASE_DE_DATOS!S26)</f>
        <v>RESIDENCIA NAUCALPAN</v>
      </c>
      <c r="D27" s="20" t="str">
        <f>IF(BASE_DE_DATOS!T26="","",BASE_DE_DATOS!T26)</f>
        <v>NISSAN VERSA</v>
      </c>
      <c r="E27" s="20" t="str">
        <f>IF(BASE_DE_DATOS!U26="","",BASE_DE_DATOS!U26)</f>
        <v>MGX-543-A</v>
      </c>
      <c r="F27" s="20" t="str">
        <f>IF(BASE_DE_DATOS!O26="","",BASE_DE_DATOS!O26)</f>
        <v/>
      </c>
      <c r="G27" s="20" t="str">
        <f>IF(BASE_DE_DATOS!P26="","",BASE_DE_DATOS!P26)</f>
        <v/>
      </c>
      <c r="H27" s="20" t="str">
        <f>IF(BASE_DE_DATOS!F26="","",BASE_DE_DATOS!F26)</f>
        <v>09:00</v>
      </c>
      <c r="I27" s="23">
        <f>IF(BASE_DE_DATOS!G26="","",BASE_DE_DATOS!G26)</f>
        <v>23849</v>
      </c>
      <c r="J27" s="24" t="str">
        <f>IF(BASE_DE_DATOS!L26="v","X","")</f>
        <v/>
      </c>
      <c r="K27" s="24" t="str">
        <f>IF(BASE_DE_DATOS!L26="1/4","X","")</f>
        <v/>
      </c>
      <c r="L27" s="24" t="str">
        <f>IF(BASE_DE_DATOS!L26="1/2","X","")</f>
        <v/>
      </c>
      <c r="M27" s="24" t="str">
        <f>IF(BASE_DE_DATOS!L26="1","X","")</f>
        <v/>
      </c>
      <c r="N27" s="25" t="str">
        <f>IF(BASE_DE_DATOS!I26="","",BASE_DE_DATOS!I26)</f>
        <v>19:00</v>
      </c>
      <c r="O27" s="23">
        <f>IF(BASE_DE_DATOS!J26="","",BASE_DE_DATOS!J26)</f>
        <v>23849</v>
      </c>
      <c r="P27" s="24" t="str">
        <f>IF(BASE_DE_DATOS!M26="v","X","")</f>
        <v/>
      </c>
      <c r="Q27" s="24" t="str">
        <f>IF(BASE_DE_DATOS!M26="1/4","X","")</f>
        <v/>
      </c>
      <c r="R27" s="24" t="str">
        <f>IF(BASE_DE_DATOS!M26="1/2","X","")</f>
        <v/>
      </c>
      <c r="S27" s="24" t="str">
        <f>IF(BASE_DE_DATOS!M26="1","X","")</f>
        <v/>
      </c>
      <c r="T27" s="25" t="str">
        <f>IF(BASE_DE_DATOS!N26="","",BASE_DE_DATOS!N26)</f>
        <v/>
      </c>
      <c r="U27" s="3"/>
      <c r="V27" s="20" t="str">
        <f>IF(BASE_DE_DATOS!V26="","",BASE_DE_DATOS!V26)</f>
        <v>0101P3402484l</v>
      </c>
      <c r="W27" s="20" t="str">
        <f>IF(BASE_DE_DATOS!Q26="","",BASE_DE_DATOS!Q26)</f>
        <v/>
      </c>
    </row>
    <row r="28" spans="1:23" x14ac:dyDescent="0.35">
      <c r="A28" s="5" t="str">
        <f>IF(BASE_DE_DATOS!A27="","",BASE_DE_DATOS!A27)</f>
        <v>26/07/2026</v>
      </c>
      <c r="B28" s="20" t="str">
        <f>IF(BASE_DE_DATOS!R27="","",BASE_DE_DATOS!R27)</f>
        <v>VÍCTOR LEONARDO OLMEDO GONZALEZ</v>
      </c>
      <c r="C28" s="20" t="str">
        <f>IF(BASE_DE_DATOS!S27="","",BASE_DE_DATOS!S27)</f>
        <v>RESIDENCIA NAUCALPAN</v>
      </c>
      <c r="D28" s="20" t="str">
        <f>IF(BASE_DE_DATOS!T27="","",BASE_DE_DATOS!T27)</f>
        <v>NISSAN VERSA</v>
      </c>
      <c r="E28" s="20" t="str">
        <f>IF(BASE_DE_DATOS!U27="","",BASE_DE_DATOS!U27)</f>
        <v>MGX-543-A</v>
      </c>
      <c r="F28" s="20" t="str">
        <f>IF(BASE_DE_DATOS!O27="","",BASE_DE_DATOS!O27)</f>
        <v/>
      </c>
      <c r="G28" s="20" t="str">
        <f>IF(BASE_DE_DATOS!P27="","",BASE_DE_DATOS!P27)</f>
        <v/>
      </c>
      <c r="H28" s="20" t="str">
        <f>IF(BASE_DE_DATOS!F27="","",BASE_DE_DATOS!F27)</f>
        <v>09:00</v>
      </c>
      <c r="I28" s="23">
        <f>IF(BASE_DE_DATOS!G27="","",BASE_DE_DATOS!G27)</f>
        <v>23849</v>
      </c>
      <c r="J28" s="24" t="str">
        <f>IF(BASE_DE_DATOS!L27="v","X","")</f>
        <v/>
      </c>
      <c r="K28" s="24" t="str">
        <f>IF(BASE_DE_DATOS!L27="1/4","X","")</f>
        <v/>
      </c>
      <c r="L28" s="24" t="str">
        <f>IF(BASE_DE_DATOS!L27="1/2","X","")</f>
        <v/>
      </c>
      <c r="M28" s="24" t="str">
        <f>IF(BASE_DE_DATOS!L27="1","X","")</f>
        <v/>
      </c>
      <c r="N28" s="25" t="str">
        <f>IF(BASE_DE_DATOS!I27="","",BASE_DE_DATOS!I27)</f>
        <v>19:00</v>
      </c>
      <c r="O28" s="23">
        <f>IF(BASE_DE_DATOS!J27="","",BASE_DE_DATOS!J27)</f>
        <v>23849</v>
      </c>
      <c r="P28" s="24" t="str">
        <f>IF(BASE_DE_DATOS!M27="v","X","")</f>
        <v/>
      </c>
      <c r="Q28" s="24" t="str">
        <f>IF(BASE_DE_DATOS!M27="1/4","X","")</f>
        <v/>
      </c>
      <c r="R28" s="24" t="str">
        <f>IF(BASE_DE_DATOS!M27="1/2","X","")</f>
        <v/>
      </c>
      <c r="S28" s="24" t="str">
        <f>IF(BASE_DE_DATOS!M27="1","X","")</f>
        <v/>
      </c>
      <c r="T28" s="25" t="str">
        <f>IF(BASE_DE_DATOS!N27="","",BASE_DE_DATOS!N27)</f>
        <v/>
      </c>
      <c r="U28" s="3"/>
      <c r="V28" s="20" t="str">
        <f>IF(BASE_DE_DATOS!V27="","",BASE_DE_DATOS!V27)</f>
        <v>0101P3402484l</v>
      </c>
      <c r="W28" s="20" t="str">
        <f>IF(BASE_DE_DATOS!Q27="","",BASE_DE_DATOS!Q27)</f>
        <v/>
      </c>
    </row>
    <row r="29" spans="1:23" x14ac:dyDescent="0.35">
      <c r="A29" s="5" t="str">
        <f>IF(BASE_DE_DATOS!A28="","",BASE_DE_DATOS!A28)</f>
        <v>27/07/2026</v>
      </c>
      <c r="B29" s="20" t="str">
        <f>IF(BASE_DE_DATOS!R28="","",BASE_DE_DATOS!R28)</f>
        <v>VÍCTOR LEONARDO OLMEDO GONZALEZ</v>
      </c>
      <c r="C29" s="20" t="str">
        <f>IF(BASE_DE_DATOS!S28="","",BASE_DE_DATOS!S28)</f>
        <v>RESIDENCIA NAUCALPAN</v>
      </c>
      <c r="D29" s="20" t="str">
        <f>IF(BASE_DE_DATOS!T28="","",BASE_DE_DATOS!T28)</f>
        <v>NISSAN VERSA</v>
      </c>
      <c r="E29" s="20" t="str">
        <f>IF(BASE_DE_DATOS!U28="","",BASE_DE_DATOS!U28)</f>
        <v>MGX-543-A</v>
      </c>
      <c r="F29" s="20" t="str">
        <f>IF(BASE_DE_DATOS!O28="","",BASE_DE_DATOS!O28)</f>
        <v/>
      </c>
      <c r="G29" s="20" t="str">
        <f>IF(BASE_DE_DATOS!P28="","",BASE_DE_DATOS!P28)</f>
        <v/>
      </c>
      <c r="H29" s="20" t="str">
        <f>IF(BASE_DE_DATOS!F28="","",BASE_DE_DATOS!F28)</f>
        <v>09:00</v>
      </c>
      <c r="I29" s="23">
        <f>IF(BASE_DE_DATOS!G28="","",BASE_DE_DATOS!G28)</f>
        <v>23849</v>
      </c>
      <c r="J29" s="24" t="str">
        <f>IF(BASE_DE_DATOS!L28="v","X","")</f>
        <v/>
      </c>
      <c r="K29" s="24" t="str">
        <f>IF(BASE_DE_DATOS!L28="1/4","X","")</f>
        <v/>
      </c>
      <c r="L29" s="24" t="str">
        <f>IF(BASE_DE_DATOS!L28="1/2","X","")</f>
        <v/>
      </c>
      <c r="M29" s="24" t="str">
        <f>IF(BASE_DE_DATOS!L28="1","X","")</f>
        <v/>
      </c>
      <c r="N29" s="25" t="str">
        <f>IF(BASE_DE_DATOS!I28="","",BASE_DE_DATOS!I28)</f>
        <v>19:00</v>
      </c>
      <c r="O29" s="23">
        <f>IF(BASE_DE_DATOS!J28="","",BASE_DE_DATOS!J28)</f>
        <v>23849</v>
      </c>
      <c r="P29" s="24" t="str">
        <f>IF(BASE_DE_DATOS!M28="v","X","")</f>
        <v/>
      </c>
      <c r="Q29" s="24" t="str">
        <f>IF(BASE_DE_DATOS!M28="1/4","X","")</f>
        <v/>
      </c>
      <c r="R29" s="24" t="str">
        <f>IF(BASE_DE_DATOS!M28="1/2","X","")</f>
        <v/>
      </c>
      <c r="S29" s="24" t="str">
        <f>IF(BASE_DE_DATOS!M28="1","X","")</f>
        <v/>
      </c>
      <c r="T29" s="25" t="str">
        <f>IF(BASE_DE_DATOS!N28="","",BASE_DE_DATOS!N28)</f>
        <v/>
      </c>
      <c r="U29" s="3"/>
      <c r="V29" s="20" t="str">
        <f>IF(BASE_DE_DATOS!V28="","",BASE_DE_DATOS!V28)</f>
        <v>0101P3402484l</v>
      </c>
      <c r="W29" s="20" t="str">
        <f>IF(BASE_DE_DATOS!Q28="","",BASE_DE_DATOS!Q28)</f>
        <v/>
      </c>
    </row>
    <row r="30" spans="1:23" x14ac:dyDescent="0.35">
      <c r="A30" s="5" t="str">
        <f>IF(BASE_DE_DATOS!A29="","",BASE_DE_DATOS!A29)</f>
        <v>28/07/2026</v>
      </c>
      <c r="B30" s="20" t="str">
        <f>IF(BASE_DE_DATOS!R29="","",BASE_DE_DATOS!R29)</f>
        <v>VÍCTOR LEONARDO OLMEDO GONZALEZ</v>
      </c>
      <c r="C30" s="20" t="str">
        <f>IF(BASE_DE_DATOS!S29="","",BASE_DE_DATOS!S29)</f>
        <v>RESIDENCIA NAUCALPAN</v>
      </c>
      <c r="D30" s="20" t="str">
        <f>IF(BASE_DE_DATOS!T29="","",BASE_DE_DATOS!T29)</f>
        <v>NISSAN VERSA</v>
      </c>
      <c r="E30" s="20" t="str">
        <f>IF(BASE_DE_DATOS!U29="","",BASE_DE_DATOS!U29)</f>
        <v>MGX-543-A</v>
      </c>
      <c r="F30" s="20" t="str">
        <f>IF(BASE_DE_DATOS!O29="","",BASE_DE_DATOS!O29)</f>
        <v/>
      </c>
      <c r="G30" s="20" t="str">
        <f>IF(BASE_DE_DATOS!P29="","",BASE_DE_DATOS!P29)</f>
        <v/>
      </c>
      <c r="H30" s="20" t="str">
        <f>IF(BASE_DE_DATOS!F29="","",BASE_DE_DATOS!F29)</f>
        <v>09:00</v>
      </c>
      <c r="I30" s="23">
        <f>IF(BASE_DE_DATOS!G29="","",BASE_DE_DATOS!G29)</f>
        <v>23849</v>
      </c>
      <c r="J30" s="24" t="str">
        <f>IF(BASE_DE_DATOS!L29="v","X","")</f>
        <v/>
      </c>
      <c r="K30" s="24" t="str">
        <f>IF(BASE_DE_DATOS!L29="1/4","X","")</f>
        <v/>
      </c>
      <c r="L30" s="24" t="str">
        <f>IF(BASE_DE_DATOS!L29="1/2","X","")</f>
        <v/>
      </c>
      <c r="M30" s="24" t="str">
        <f>IF(BASE_DE_DATOS!L29="1","X","")</f>
        <v/>
      </c>
      <c r="N30" s="25" t="str">
        <f>IF(BASE_DE_DATOS!I29="","",BASE_DE_DATOS!I29)</f>
        <v>19:00</v>
      </c>
      <c r="O30" s="23">
        <f>IF(BASE_DE_DATOS!J29="","",BASE_DE_DATOS!J29)</f>
        <v>23849</v>
      </c>
      <c r="P30" s="24" t="str">
        <f>IF(BASE_DE_DATOS!M29="v","X","")</f>
        <v/>
      </c>
      <c r="Q30" s="24" t="str">
        <f>IF(BASE_DE_DATOS!M29="1/4","X","")</f>
        <v/>
      </c>
      <c r="R30" s="24" t="str">
        <f>IF(BASE_DE_DATOS!M29="1/2","X","")</f>
        <v/>
      </c>
      <c r="S30" s="24" t="str">
        <f>IF(BASE_DE_DATOS!M29="1","X","")</f>
        <v/>
      </c>
      <c r="T30" s="25" t="str">
        <f>IF(BASE_DE_DATOS!N29="","",BASE_DE_DATOS!N29)</f>
        <v/>
      </c>
      <c r="U30" s="3"/>
      <c r="V30" s="20" t="str">
        <f>IF(BASE_DE_DATOS!V29="","",BASE_DE_DATOS!V29)</f>
        <v>0101P3402484l</v>
      </c>
      <c r="W30" s="20" t="str">
        <f>IF(BASE_DE_DATOS!Q29="","",BASE_DE_DATOS!Q29)</f>
        <v/>
      </c>
    </row>
    <row r="31" spans="1:23" x14ac:dyDescent="0.35">
      <c r="A31" s="5" t="str">
        <f>IF(BASE_DE_DATOS!A30="","",BASE_DE_DATOS!A30)</f>
        <v>29/07/2026</v>
      </c>
      <c r="B31" s="20" t="str">
        <f>IF(BASE_DE_DATOS!R30="","",BASE_DE_DATOS!R30)</f>
        <v>VÍCTOR LEONARDO OLMEDO GONZALEZ</v>
      </c>
      <c r="C31" s="20" t="str">
        <f>IF(BASE_DE_DATOS!S30="","",BASE_DE_DATOS!S30)</f>
        <v>RESIDENCIA NAUCALPAN</v>
      </c>
      <c r="D31" s="20" t="str">
        <f>IF(BASE_DE_DATOS!T30="","",BASE_DE_DATOS!T30)</f>
        <v>NISSAN VERSA</v>
      </c>
      <c r="E31" s="20" t="str">
        <f>IF(BASE_DE_DATOS!U30="","",BASE_DE_DATOS!U30)</f>
        <v>MGX-543-A</v>
      </c>
      <c r="F31" s="20" t="str">
        <f>IF(BASE_DE_DATOS!O30="","",BASE_DE_DATOS!O30)</f>
        <v/>
      </c>
      <c r="G31" s="20" t="str">
        <f>IF(BASE_DE_DATOS!P30="","",BASE_DE_DATOS!P30)</f>
        <v/>
      </c>
      <c r="H31" s="20" t="str">
        <f>IF(BASE_DE_DATOS!F30="","",BASE_DE_DATOS!F30)</f>
        <v>09:00</v>
      </c>
      <c r="I31" s="23">
        <f>IF(BASE_DE_DATOS!G30="","",BASE_DE_DATOS!G30)</f>
        <v>23849</v>
      </c>
      <c r="J31" s="24" t="str">
        <f>IF(BASE_DE_DATOS!L30="v","X","")</f>
        <v/>
      </c>
      <c r="K31" s="24" t="str">
        <f>IF(BASE_DE_DATOS!L30="1/4","X","")</f>
        <v/>
      </c>
      <c r="L31" s="24" t="str">
        <f>IF(BASE_DE_DATOS!L30="1/2","X","")</f>
        <v/>
      </c>
      <c r="M31" s="24" t="str">
        <f>IF(BASE_DE_DATOS!L30="1","X","")</f>
        <v/>
      </c>
      <c r="N31" s="25" t="str">
        <f>IF(BASE_DE_DATOS!I30="","",BASE_DE_DATOS!I30)</f>
        <v>19:00</v>
      </c>
      <c r="O31" s="23">
        <f>IF(BASE_DE_DATOS!J30="","",BASE_DE_DATOS!J30)</f>
        <v>23849</v>
      </c>
      <c r="P31" s="24" t="str">
        <f>IF(BASE_DE_DATOS!M30="v","X","")</f>
        <v/>
      </c>
      <c r="Q31" s="24" t="str">
        <f>IF(BASE_DE_DATOS!M30="1/4","X","")</f>
        <v/>
      </c>
      <c r="R31" s="24" t="str">
        <f>IF(BASE_DE_DATOS!M30="1/2","X","")</f>
        <v/>
      </c>
      <c r="S31" s="24" t="str">
        <f>IF(BASE_DE_DATOS!M30="1","X","")</f>
        <v/>
      </c>
      <c r="T31" s="25" t="str">
        <f>IF(BASE_DE_DATOS!N30="","",BASE_DE_DATOS!N30)</f>
        <v/>
      </c>
      <c r="U31" s="3"/>
      <c r="V31" s="20" t="str">
        <f>IF(BASE_DE_DATOS!V30="","",BASE_DE_DATOS!V30)</f>
        <v>0101P3402484l</v>
      </c>
      <c r="W31" s="20" t="str">
        <f>IF(BASE_DE_DATOS!Q30="","",BASE_DE_DATOS!Q30)</f>
        <v/>
      </c>
    </row>
    <row r="32" spans="1:23" x14ac:dyDescent="0.35">
      <c r="A32" s="5" t="str">
        <f>IF(BASE_DE_DATOS!A31="","",BASE_DE_DATOS!A31)</f>
        <v>30/07/2026</v>
      </c>
      <c r="B32" s="20" t="str">
        <f>IF(BASE_DE_DATOS!R31="","",BASE_DE_DATOS!R31)</f>
        <v>VÍCTOR LEONARDO OLMEDO GONZALEZ</v>
      </c>
      <c r="C32" s="20" t="str">
        <f>IF(BASE_DE_DATOS!S31="","",BASE_DE_DATOS!S31)</f>
        <v>RESIDENCIA NAUCALPAN</v>
      </c>
      <c r="D32" s="20" t="str">
        <f>IF(BASE_DE_DATOS!T31="","",BASE_DE_DATOS!T31)</f>
        <v>NISSAN VERSA</v>
      </c>
      <c r="E32" s="20" t="str">
        <f>IF(BASE_DE_DATOS!U31="","",BASE_DE_DATOS!U31)</f>
        <v>MGX-543-A</v>
      </c>
      <c r="F32" s="20" t="str">
        <f>IF(BASE_DE_DATOS!O31="","",BASE_DE_DATOS!O31)</f>
        <v/>
      </c>
      <c r="G32" s="20" t="str">
        <f>IF(BASE_DE_DATOS!P31="","",BASE_DE_DATOS!P31)</f>
        <v/>
      </c>
      <c r="H32" s="20" t="str">
        <f>IF(BASE_DE_DATOS!F31="","",BASE_DE_DATOS!F31)</f>
        <v>09:00</v>
      </c>
      <c r="I32" s="23">
        <f>IF(BASE_DE_DATOS!G31="","",BASE_DE_DATOS!G31)</f>
        <v>23849</v>
      </c>
      <c r="J32" s="24" t="str">
        <f>IF(BASE_DE_DATOS!L31="v","X","")</f>
        <v/>
      </c>
      <c r="K32" s="24" t="str">
        <f>IF(BASE_DE_DATOS!L31="1/4","X","")</f>
        <v/>
      </c>
      <c r="L32" s="24" t="str">
        <f>IF(BASE_DE_DATOS!L31="1/2","X","")</f>
        <v/>
      </c>
      <c r="M32" s="24" t="str">
        <f>IF(BASE_DE_DATOS!L31="1","X","")</f>
        <v/>
      </c>
      <c r="N32" s="25" t="str">
        <f>IF(BASE_DE_DATOS!I31="","",BASE_DE_DATOS!I31)</f>
        <v>19:00</v>
      </c>
      <c r="O32" s="23">
        <f>IF(BASE_DE_DATOS!J31="","",BASE_DE_DATOS!J31)</f>
        <v>23849</v>
      </c>
      <c r="P32" s="24" t="str">
        <f>IF(BASE_DE_DATOS!M31="v","X","")</f>
        <v/>
      </c>
      <c r="Q32" s="24" t="str">
        <f>IF(BASE_DE_DATOS!M31="1/4","X","")</f>
        <v/>
      </c>
      <c r="R32" s="24" t="str">
        <f>IF(BASE_DE_DATOS!M31="1/2","X","")</f>
        <v/>
      </c>
      <c r="S32" s="24" t="str">
        <f>IF(BASE_DE_DATOS!M31="1","X","")</f>
        <v/>
      </c>
      <c r="T32" s="25" t="str">
        <f>IF(BASE_DE_DATOS!N31="","",BASE_DE_DATOS!N31)</f>
        <v/>
      </c>
      <c r="U32" s="3"/>
      <c r="V32" s="20" t="str">
        <f>IF(BASE_DE_DATOS!V31="","",BASE_DE_DATOS!V31)</f>
        <v>0101P3402484l</v>
      </c>
      <c r="W32" s="20" t="str">
        <f>IF(BASE_DE_DATOS!Q31="","",BASE_DE_DATOS!Q31)</f>
        <v/>
      </c>
    </row>
    <row r="33" spans="1:23" x14ac:dyDescent="0.35">
      <c r="A33" s="5" t="str">
        <f>IF(BASE_DE_DATOS!A32="","",BASE_DE_DATOS!A32)</f>
        <v>31/07/2026</v>
      </c>
      <c r="B33" s="20" t="str">
        <f>IF(BASE_DE_DATOS!R32="","",BASE_DE_DATOS!R32)</f>
        <v>VÍCTOR LEONARDO OLMEDO GONZALEZ</v>
      </c>
      <c r="C33" s="20" t="str">
        <f>IF(BASE_DE_DATOS!S32="","",BASE_DE_DATOS!S32)</f>
        <v>RESIDENCIA NAUCALPAN</v>
      </c>
      <c r="D33" s="20" t="str">
        <f>IF(BASE_DE_DATOS!T32="","",BASE_DE_DATOS!T32)</f>
        <v>NISSAN VERSA</v>
      </c>
      <c r="E33" s="20" t="str">
        <f>IF(BASE_DE_DATOS!U32="","",BASE_DE_DATOS!U32)</f>
        <v>MGX-543-A</v>
      </c>
      <c r="F33" s="20" t="str">
        <f>IF(BASE_DE_DATOS!O32="","",BASE_DE_DATOS!O32)</f>
        <v/>
      </c>
      <c r="G33" s="20" t="str">
        <f>IF(BASE_DE_DATOS!P32="","",BASE_DE_DATOS!P32)</f>
        <v/>
      </c>
      <c r="H33" s="20" t="str">
        <f>IF(BASE_DE_DATOS!F32="","",BASE_DE_DATOS!F32)</f>
        <v>09:00</v>
      </c>
      <c r="I33" s="23">
        <f>IF(BASE_DE_DATOS!G32="","",BASE_DE_DATOS!G32)</f>
        <v>23849</v>
      </c>
      <c r="J33" s="24" t="str">
        <f>IF(BASE_DE_DATOS!L32="v","X","")</f>
        <v/>
      </c>
      <c r="K33" s="24" t="str">
        <f>IF(BASE_DE_DATOS!L32="1/4","X","")</f>
        <v/>
      </c>
      <c r="L33" s="24" t="str">
        <f>IF(BASE_DE_DATOS!L32="1/2","X","")</f>
        <v/>
      </c>
      <c r="M33" s="24" t="str">
        <f>IF(BASE_DE_DATOS!L32="1","X","")</f>
        <v/>
      </c>
      <c r="N33" s="25" t="str">
        <f>IF(BASE_DE_DATOS!I32="","",BASE_DE_DATOS!I32)</f>
        <v>19:00</v>
      </c>
      <c r="O33" s="23">
        <f>IF(BASE_DE_DATOS!J32="","",BASE_DE_DATOS!J32)</f>
        <v>23849</v>
      </c>
      <c r="P33" s="24" t="str">
        <f>IF(BASE_DE_DATOS!M32="v","X","")</f>
        <v/>
      </c>
      <c r="Q33" s="24" t="str">
        <f>IF(BASE_DE_DATOS!M32="1/4","X","")</f>
        <v/>
      </c>
      <c r="R33" s="24" t="str">
        <f>IF(BASE_DE_DATOS!M32="1/2","X","")</f>
        <v/>
      </c>
      <c r="S33" s="24" t="str">
        <f>IF(BASE_DE_DATOS!M32="1","X","")</f>
        <v/>
      </c>
      <c r="T33" s="25" t="str">
        <f>IF(BASE_DE_DATOS!N32="","",BASE_DE_DATOS!N32)</f>
        <v/>
      </c>
      <c r="U33" s="3"/>
      <c r="V33" s="20" t="str">
        <f>IF(BASE_DE_DATOS!V32="","",BASE_DE_DATOS!V32)</f>
        <v>0101P3402484l</v>
      </c>
      <c r="W33" s="20" t="str">
        <f>IF(BASE_DE_DATOS!Q32="","",BASE_DE_DATOS!Q32)</f>
        <v/>
      </c>
    </row>
  </sheetData>
  <mergeCells count="16">
    <mergeCell ref="A1:A2"/>
    <mergeCell ref="F1:G1"/>
    <mergeCell ref="H1:H2"/>
    <mergeCell ref="P1:S1"/>
    <mergeCell ref="T1:T2"/>
    <mergeCell ref="N1:N2"/>
    <mergeCell ref="B1:B2"/>
    <mergeCell ref="D1:D2"/>
    <mergeCell ref="E1:E2"/>
    <mergeCell ref="V1:V2"/>
    <mergeCell ref="I1:I2"/>
    <mergeCell ref="W1:W2"/>
    <mergeCell ref="U1:U2"/>
    <mergeCell ref="O1:O2"/>
    <mergeCell ref="J1:M1"/>
    <mergeCell ref="C1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0"/>
  <sheetViews>
    <sheetView topLeftCell="A6" workbookViewId="0">
      <selection activeCell="C11" sqref="C11"/>
    </sheetView>
  </sheetViews>
  <sheetFormatPr baseColWidth="10" defaultColWidth="8.7265625" defaultRowHeight="14.5" x14ac:dyDescent="0.35"/>
  <cols>
    <col min="1" max="1" width="25" customWidth="1"/>
    <col min="2" max="2" width="40" customWidth="1"/>
    <col min="3" max="3" width="28" customWidth="1"/>
    <col min="4" max="4" width="25" customWidth="1"/>
  </cols>
  <sheetData>
    <row r="1" spans="1:4" ht="18.5" customHeight="1" x14ac:dyDescent="0.35">
      <c r="A1" s="46" t="str">
        <f>"BITÁCORA " &amp; VLOOKUP(D2, BASE_DE_DATOS!$A$2:$B$100, 2, FALSE)</f>
        <v>BITÁCORA JUNIO</v>
      </c>
      <c r="B1" s="40"/>
      <c r="C1" s="40"/>
      <c r="D1" s="41"/>
    </row>
    <row r="2" spans="1:4" x14ac:dyDescent="0.35">
      <c r="A2" s="18" t="s">
        <v>107</v>
      </c>
      <c r="B2" s="19" t="s">
        <v>29</v>
      </c>
      <c r="C2" s="18" t="s">
        <v>108</v>
      </c>
      <c r="D2" s="26" t="str">
        <f>IF(BASE_DE_DATOS!A2="","",BASE_DE_DATOS!A2)</f>
        <v>24/06/2026</v>
      </c>
    </row>
    <row r="3" spans="1:4" x14ac:dyDescent="0.35">
      <c r="A3" s="18" t="s">
        <v>109</v>
      </c>
      <c r="B3" s="26" t="str">
        <f>IF(BASE_DE_DATOS!T2="","",BASE_DE_DATOS!T2)</f>
        <v>NISSAN VERSA</v>
      </c>
      <c r="C3" s="18" t="s">
        <v>110</v>
      </c>
      <c r="D3" s="26" t="str">
        <f>IF(BASE_DE_DATOS!U2="","",BASE_DE_DATOS!U2)</f>
        <v>MGX-543-A</v>
      </c>
    </row>
    <row r="4" spans="1:4" x14ac:dyDescent="0.35">
      <c r="A4" s="18" t="s">
        <v>111</v>
      </c>
      <c r="B4" s="26" t="str">
        <f>IF(BASE_DE_DATOS!R2="","",BASE_DE_DATOS!R2)</f>
        <v>VÍCTOR LEONARDO OLMEDO GONZALEZ</v>
      </c>
      <c r="C4" s="18" t="s">
        <v>112</v>
      </c>
      <c r="D4" s="26" t="str">
        <f>IF(BASE_DE_DATOS!V2="","",BASE_DE_DATOS!V2)</f>
        <v>0101P3402484l</v>
      </c>
    </row>
    <row r="5" spans="1:4" x14ac:dyDescent="0.35">
      <c r="A5" s="18" t="s">
        <v>113</v>
      </c>
      <c r="B5" s="26" t="str">
        <f>IF(BASE_DE_DATOS!F2="","",BASE_DE_DATOS!F2)</f>
        <v>09:00</v>
      </c>
      <c r="C5" s="18" t="s">
        <v>114</v>
      </c>
      <c r="D5" s="26" t="str">
        <f>IF(BASE_DE_DATOS!O2="","",BASE_DE_DATOS!O2)</f>
        <v/>
      </c>
    </row>
    <row r="6" spans="1:4" x14ac:dyDescent="0.35">
      <c r="A6" s="18" t="s">
        <v>115</v>
      </c>
      <c r="B6" s="19" t="s">
        <v>116</v>
      </c>
      <c r="C6" s="18" t="s">
        <v>117</v>
      </c>
      <c r="D6" s="26">
        <f>IF(BASE_DE_DATOS!G2="","",BASE_DE_DATOS!G2)</f>
        <v>23379</v>
      </c>
    </row>
    <row r="7" spans="1:4" x14ac:dyDescent="0.35">
      <c r="A7" s="18" t="s">
        <v>118</v>
      </c>
      <c r="B7" s="26" t="str">
        <f>IF(BASE_DE_DATOS!I2="","",BASE_DE_DATOS!I2)</f>
        <v>19:00</v>
      </c>
      <c r="C7" s="18" t="s">
        <v>119</v>
      </c>
      <c r="D7" s="26">
        <f>IF(BASE_DE_DATOS!J2="","",BASE_DE_DATOS!J2)</f>
        <v>23479</v>
      </c>
    </row>
    <row r="8" spans="1:4" x14ac:dyDescent="0.35">
      <c r="A8" s="18" t="s">
        <v>115</v>
      </c>
      <c r="B8" s="19" t="s">
        <v>116</v>
      </c>
      <c r="C8" s="45">
        <f>IF(BASE_DE_DATOS!N2="","",BASE_DE_DATOS!N2)</f>
        <v>200</v>
      </c>
      <c r="D8" s="41"/>
    </row>
    <row r="9" spans="1:4" x14ac:dyDescent="0.35">
      <c r="A9" s="18" t="s">
        <v>120</v>
      </c>
      <c r="B9" s="26" t="str">
        <f>IF(BASE_DE_DATOS!C2="","",BASE_DE_DATOS!C2)</f>
        <v>TOLUCA</v>
      </c>
      <c r="C9" s="18" t="s">
        <v>121</v>
      </c>
      <c r="D9" s="19"/>
    </row>
    <row r="10" spans="1:4" x14ac:dyDescent="0.35">
      <c r="A10" s="18" t="s">
        <v>122</v>
      </c>
      <c r="B10" s="44" t="str">
        <f>IF(BASE_DE_DATOS!D2="","",BASE_DE_DATOS!D2)</f>
        <v>ZINACANTEPEC-(REPRESENTACIÓN)PENSIÓN</v>
      </c>
      <c r="C10" s="40"/>
      <c r="D10" s="41"/>
    </row>
    <row r="13" spans="1:4" ht="18.5" customHeight="1" x14ac:dyDescent="0.35">
      <c r="A13" s="43" t="str">
        <f>"BITÁCORA " &amp; VLOOKUP(D14, BASE_DE_DATOS!$A$2:$B$100, 2, FALSE)</f>
        <v>BITÁCORA JUNIO</v>
      </c>
      <c r="B13" s="40"/>
      <c r="C13" s="40"/>
      <c r="D13" s="41"/>
    </row>
    <row r="14" spans="1:4" x14ac:dyDescent="0.35">
      <c r="A14" s="18" t="s">
        <v>107</v>
      </c>
      <c r="B14" s="19" t="s">
        <v>29</v>
      </c>
      <c r="C14" s="18" t="s">
        <v>108</v>
      </c>
      <c r="D14" s="26" t="str">
        <f>IF(BASE_DE_DATOS!A3="","",BASE_DE_DATOS!A3)</f>
        <v>25/06/2026</v>
      </c>
    </row>
    <row r="15" spans="1:4" x14ac:dyDescent="0.35">
      <c r="A15" s="18" t="s">
        <v>109</v>
      </c>
      <c r="B15" s="26" t="str">
        <f>IF(BASE_DE_DATOS!T3="","",BASE_DE_DATOS!T3)</f>
        <v>NISSAN VERSA</v>
      </c>
      <c r="C15" s="18" t="s">
        <v>110</v>
      </c>
      <c r="D15" s="26" t="str">
        <f>IF(BASE_DE_DATOS!U3="","",BASE_DE_DATOS!U3)</f>
        <v>MGX-543-A</v>
      </c>
    </row>
    <row r="16" spans="1:4" x14ac:dyDescent="0.35">
      <c r="A16" s="18" t="s">
        <v>111</v>
      </c>
      <c r="B16" s="26" t="str">
        <f>IF(BASE_DE_DATOS!R3="","",BASE_DE_DATOS!R3)</f>
        <v>VÍCTOR LEONARDO OLMEDO GONZALEZ</v>
      </c>
      <c r="C16" s="18" t="s">
        <v>112</v>
      </c>
      <c r="D16" s="26" t="str">
        <f>IF(BASE_DE_DATOS!V3="","",BASE_DE_DATOS!V3)</f>
        <v>0101P3402484l</v>
      </c>
    </row>
    <row r="17" spans="1:4" x14ac:dyDescent="0.35">
      <c r="A17" s="18" t="s">
        <v>113</v>
      </c>
      <c r="B17" s="26" t="str">
        <f>IF(BASE_DE_DATOS!F3="","",BASE_DE_DATOS!F3)</f>
        <v>09:00</v>
      </c>
      <c r="C17" s="18" t="s">
        <v>114</v>
      </c>
      <c r="D17" s="26" t="str">
        <f>IF(BASE_DE_DATOS!O3="","",BASE_DE_DATOS!O3)</f>
        <v/>
      </c>
    </row>
    <row r="18" spans="1:4" x14ac:dyDescent="0.35">
      <c r="A18" s="18" t="s">
        <v>115</v>
      </c>
      <c r="B18" s="19" t="s">
        <v>116</v>
      </c>
      <c r="C18" s="18" t="s">
        <v>117</v>
      </c>
      <c r="D18" s="26">
        <f>IF(BASE_DE_DATOS!G3="","",BASE_DE_DATOS!G3)</f>
        <v>23479</v>
      </c>
    </row>
    <row r="19" spans="1:4" x14ac:dyDescent="0.35">
      <c r="A19" s="18" t="s">
        <v>118</v>
      </c>
      <c r="B19" s="26" t="str">
        <f>IF(BASE_DE_DATOS!I3="","",BASE_DE_DATOS!I3)</f>
        <v>19:00</v>
      </c>
      <c r="C19" s="18" t="s">
        <v>119</v>
      </c>
      <c r="D19" s="26">
        <f>IF(BASE_DE_DATOS!J3="","",BASE_DE_DATOS!J3)</f>
        <v>23479</v>
      </c>
    </row>
    <row r="20" spans="1:4" x14ac:dyDescent="0.35">
      <c r="A20" s="18" t="s">
        <v>115</v>
      </c>
      <c r="B20" s="19" t="s">
        <v>116</v>
      </c>
      <c r="C20" s="45">
        <f>IF(BASE_DE_DATOS!N3="","",BASE_DE_DATOS!N3)</f>
        <v>300</v>
      </c>
      <c r="D20" s="41"/>
    </row>
    <row r="21" spans="1:4" x14ac:dyDescent="0.35">
      <c r="A21" s="18" t="s">
        <v>120</v>
      </c>
      <c r="B21" s="26" t="str">
        <f>IF(BASE_DE_DATOS!C3="","",BASE_DE_DATOS!C3)</f>
        <v>HUEHUETOCA</v>
      </c>
      <c r="C21" s="18" t="s">
        <v>121</v>
      </c>
      <c r="D21" s="19"/>
    </row>
    <row r="22" spans="1:4" x14ac:dyDescent="0.35">
      <c r="A22" s="18" t="s">
        <v>122</v>
      </c>
      <c r="B22" s="44" t="str">
        <f>IF(BASE_DE_DATOS!D3="","",BASE_DE_DATOS!D3)</f>
        <v>HUEHUETOCA - SANTIAGO TLALTEPOXCO</v>
      </c>
      <c r="C22" s="40"/>
      <c r="D22" s="41"/>
    </row>
    <row r="25" spans="1:4" ht="18.5" customHeight="1" x14ac:dyDescent="0.35">
      <c r="A25" s="43" t="str">
        <f>"BITÁCORA " &amp; VLOOKUP(D26, BASE_DE_DATOS!$A$2:$B$100, 2, FALSE)</f>
        <v>BITÁCORA JUNIO</v>
      </c>
      <c r="B25" s="40"/>
      <c r="C25" s="40"/>
      <c r="D25" s="41"/>
    </row>
    <row r="26" spans="1:4" x14ac:dyDescent="0.35">
      <c r="A26" s="18" t="s">
        <v>107</v>
      </c>
      <c r="B26" s="19" t="s">
        <v>29</v>
      </c>
      <c r="C26" s="18" t="s">
        <v>108</v>
      </c>
      <c r="D26" s="26" t="str">
        <f>IF(BASE_DE_DATOS!A4="","",BASE_DE_DATOS!A4)</f>
        <v>26/06/2026</v>
      </c>
    </row>
    <row r="27" spans="1:4" x14ac:dyDescent="0.35">
      <c r="A27" s="18" t="s">
        <v>109</v>
      </c>
      <c r="B27" s="26" t="str">
        <f>IF(BASE_DE_DATOS!T4="","",BASE_DE_DATOS!T4)</f>
        <v>NISSAN VERSA</v>
      </c>
      <c r="C27" s="18" t="s">
        <v>110</v>
      </c>
      <c r="D27" s="26" t="str">
        <f>IF(BASE_DE_DATOS!U4="","",BASE_DE_DATOS!U4)</f>
        <v>MGX-543-A</v>
      </c>
    </row>
    <row r="28" spans="1:4" x14ac:dyDescent="0.35">
      <c r="A28" s="18" t="s">
        <v>111</v>
      </c>
      <c r="B28" s="26" t="str">
        <f>IF(BASE_DE_DATOS!R4="","",BASE_DE_DATOS!R4)</f>
        <v>VÍCTOR LEONARDO OLMEDO GONZALEZ</v>
      </c>
      <c r="C28" s="18" t="s">
        <v>112</v>
      </c>
      <c r="D28" s="26" t="str">
        <f>IF(BASE_DE_DATOS!V4="","",BASE_DE_DATOS!V4)</f>
        <v>0101P3402484l</v>
      </c>
    </row>
    <row r="29" spans="1:4" x14ac:dyDescent="0.35">
      <c r="A29" s="18" t="s">
        <v>113</v>
      </c>
      <c r="B29" s="26" t="str">
        <f>IF(BASE_DE_DATOS!F4="","",BASE_DE_DATOS!F4)</f>
        <v>09:00</v>
      </c>
      <c r="C29" s="18" t="s">
        <v>114</v>
      </c>
      <c r="D29" s="26" t="str">
        <f>IF(BASE_DE_DATOS!O4="","",BASE_DE_DATOS!O4)</f>
        <v/>
      </c>
    </row>
    <row r="30" spans="1:4" x14ac:dyDescent="0.35">
      <c r="A30" s="18" t="s">
        <v>115</v>
      </c>
      <c r="B30" s="19" t="s">
        <v>116</v>
      </c>
      <c r="C30" s="18" t="s">
        <v>117</v>
      </c>
      <c r="D30" s="26">
        <f>IF(BASE_DE_DATOS!G4="","",BASE_DE_DATOS!G4)</f>
        <v>23479</v>
      </c>
    </row>
    <row r="31" spans="1:4" x14ac:dyDescent="0.35">
      <c r="A31" s="18" t="s">
        <v>118</v>
      </c>
      <c r="B31" s="26" t="str">
        <f>IF(BASE_DE_DATOS!I4="","",BASE_DE_DATOS!I4)</f>
        <v>19:00</v>
      </c>
      <c r="C31" s="18" t="s">
        <v>119</v>
      </c>
      <c r="D31" s="26">
        <f>IF(BASE_DE_DATOS!J4="","",BASE_DE_DATOS!J4)</f>
        <v>23599</v>
      </c>
    </row>
    <row r="32" spans="1:4" x14ac:dyDescent="0.35">
      <c r="A32" s="18" t="s">
        <v>115</v>
      </c>
      <c r="B32" s="19" t="s">
        <v>116</v>
      </c>
      <c r="C32" s="45">
        <f>IF(BASE_DE_DATOS!N4="","",BASE_DE_DATOS!N4)</f>
        <v>300</v>
      </c>
      <c r="D32" s="41"/>
    </row>
    <row r="33" spans="1:4" x14ac:dyDescent="0.35">
      <c r="A33" s="18" t="s">
        <v>120</v>
      </c>
      <c r="B33" s="26" t="str">
        <f>IF(BASE_DE_DATOS!C4="","",BASE_DE_DATOS!C4)</f>
        <v>TULTITLAN-NICOLAS ROMERO</v>
      </c>
      <c r="C33" s="18" t="s">
        <v>121</v>
      </c>
      <c r="D33" s="19"/>
    </row>
    <row r="34" spans="1:4" x14ac:dyDescent="0.35">
      <c r="A34" s="18" t="s">
        <v>122</v>
      </c>
      <c r="B34" s="44" t="str">
        <f>IF(BASE_DE_DATOS!D4="","",BASE_DE_DATOS!D4)</f>
        <v>SAN FRANCISCO MAGÚ</v>
      </c>
      <c r="C34" s="40"/>
      <c r="D34" s="41"/>
    </row>
    <row r="37" spans="1:4" ht="18.5" customHeight="1" x14ac:dyDescent="0.35">
      <c r="A37" s="43" t="str">
        <f>"BITÁCORA " &amp; VLOOKUP(D38, BASE_DE_DATOS!$A$2:$B$100, 2, FALSE)</f>
        <v>BITÁCORA JUNIO</v>
      </c>
      <c r="B37" s="40"/>
      <c r="C37" s="40"/>
      <c r="D37" s="41"/>
    </row>
    <row r="38" spans="1:4" x14ac:dyDescent="0.35">
      <c r="A38" s="18" t="s">
        <v>107</v>
      </c>
      <c r="B38" s="19" t="s">
        <v>29</v>
      </c>
      <c r="C38" s="18" t="s">
        <v>108</v>
      </c>
      <c r="D38" s="26" t="str">
        <f>IF(BASE_DE_DATOS!A5="","",BASE_DE_DATOS!A5)</f>
        <v>29/06/2026</v>
      </c>
    </row>
    <row r="39" spans="1:4" x14ac:dyDescent="0.35">
      <c r="A39" s="18" t="s">
        <v>109</v>
      </c>
      <c r="B39" s="26" t="str">
        <f>IF(BASE_DE_DATOS!T5="","",BASE_DE_DATOS!T5)</f>
        <v>NISSAN VERSA</v>
      </c>
      <c r="C39" s="18" t="s">
        <v>110</v>
      </c>
      <c r="D39" s="26" t="str">
        <f>IF(BASE_DE_DATOS!U5="","",BASE_DE_DATOS!U5)</f>
        <v>MGX-543-A</v>
      </c>
    </row>
    <row r="40" spans="1:4" x14ac:dyDescent="0.35">
      <c r="A40" s="18" t="s">
        <v>111</v>
      </c>
      <c r="B40" s="26" t="str">
        <f>IF(BASE_DE_DATOS!R5="","",BASE_DE_DATOS!R5)</f>
        <v>VÍCTOR LEONARDO OLMEDO GONZALEZ</v>
      </c>
      <c r="C40" s="18" t="s">
        <v>112</v>
      </c>
      <c r="D40" s="26" t="str">
        <f>IF(BASE_DE_DATOS!V5="","",BASE_DE_DATOS!V5)</f>
        <v>0101P3402484l</v>
      </c>
    </row>
    <row r="41" spans="1:4" x14ac:dyDescent="0.35">
      <c r="A41" s="18" t="s">
        <v>113</v>
      </c>
      <c r="B41" s="26" t="str">
        <f>IF(BASE_DE_DATOS!F5="","",BASE_DE_DATOS!F5)</f>
        <v>09:00</v>
      </c>
      <c r="C41" s="18" t="s">
        <v>114</v>
      </c>
      <c r="D41" s="26" t="str">
        <f>IF(BASE_DE_DATOS!O5="","",BASE_DE_DATOS!O5)</f>
        <v/>
      </c>
    </row>
    <row r="42" spans="1:4" x14ac:dyDescent="0.35">
      <c r="A42" s="18" t="s">
        <v>115</v>
      </c>
      <c r="B42" s="19" t="s">
        <v>116</v>
      </c>
      <c r="C42" s="18" t="s">
        <v>117</v>
      </c>
      <c r="D42" s="26">
        <f>IF(BASE_DE_DATOS!G5="","",BASE_DE_DATOS!G5)</f>
        <v>23599</v>
      </c>
    </row>
    <row r="43" spans="1:4" x14ac:dyDescent="0.35">
      <c r="A43" s="18" t="s">
        <v>118</v>
      </c>
      <c r="B43" s="26" t="str">
        <f>IF(BASE_DE_DATOS!I5="","",BASE_DE_DATOS!I5)</f>
        <v>19:00</v>
      </c>
      <c r="C43" s="18" t="s">
        <v>119</v>
      </c>
      <c r="D43" s="26">
        <f>IF(BASE_DE_DATOS!J5="","",BASE_DE_DATOS!J5)</f>
        <v>23799</v>
      </c>
    </row>
    <row r="44" spans="1:4" x14ac:dyDescent="0.35">
      <c r="A44" s="18" t="s">
        <v>115</v>
      </c>
      <c r="B44" s="19" t="s">
        <v>116</v>
      </c>
      <c r="C44" s="45">
        <f>IF(BASE_DE_DATOS!N5="","",BASE_DE_DATOS!N5)</f>
        <v>200</v>
      </c>
      <c r="D44" s="41"/>
    </row>
    <row r="45" spans="1:4" x14ac:dyDescent="0.35">
      <c r="A45" s="18" t="s">
        <v>120</v>
      </c>
      <c r="B45" s="26" t="str">
        <f>IF(BASE_DE_DATOS!C5="","",BASE_DE_DATOS!C5)</f>
        <v>TOLUCA</v>
      </c>
      <c r="C45" s="18" t="s">
        <v>121</v>
      </c>
      <c r="D45" s="19"/>
    </row>
    <row r="46" spans="1:4" x14ac:dyDescent="0.35">
      <c r="A46" s="18" t="s">
        <v>122</v>
      </c>
      <c r="B46" s="44" t="str">
        <f>IF(BASE_DE_DATOS!D5="","",BASE_DE_DATOS!D5)</f>
        <v>ZINACANTEPEC-(REPRESENTACIÓN)PENSIÓN</v>
      </c>
      <c r="C46" s="40"/>
      <c r="D46" s="41"/>
    </row>
    <row r="49" spans="1:4" ht="18.5" customHeight="1" x14ac:dyDescent="0.35">
      <c r="A49" s="43" t="str">
        <f>"BITÁCORA " &amp; VLOOKUP(D50, BASE_DE_DATOS!$A$2:$B$100, 2, FALSE)</f>
        <v>BITÁCORA JUNIO</v>
      </c>
      <c r="B49" s="40"/>
      <c r="C49" s="40"/>
      <c r="D49" s="41"/>
    </row>
    <row r="50" spans="1:4" x14ac:dyDescent="0.35">
      <c r="A50" s="18" t="s">
        <v>107</v>
      </c>
      <c r="B50" s="19" t="s">
        <v>29</v>
      </c>
      <c r="C50" s="18" t="s">
        <v>108</v>
      </c>
      <c r="D50" s="26" t="str">
        <f>IF(BASE_DE_DATOS!A6="","",BASE_DE_DATOS!A6)</f>
        <v>30/06/2026</v>
      </c>
    </row>
    <row r="51" spans="1:4" x14ac:dyDescent="0.35">
      <c r="A51" s="18" t="s">
        <v>109</v>
      </c>
      <c r="B51" s="26" t="str">
        <f>IF(BASE_DE_DATOS!T6="","",BASE_DE_DATOS!T6)</f>
        <v>NISSAN VERSA</v>
      </c>
      <c r="C51" s="18" t="s">
        <v>110</v>
      </c>
      <c r="D51" s="26" t="str">
        <f>IF(BASE_DE_DATOS!U6="","",BASE_DE_DATOS!U6)</f>
        <v>MGX-543-A</v>
      </c>
    </row>
    <row r="52" spans="1:4" x14ac:dyDescent="0.35">
      <c r="A52" s="18" t="s">
        <v>111</v>
      </c>
      <c r="B52" s="26" t="str">
        <f>IF(BASE_DE_DATOS!R6="","",BASE_DE_DATOS!R6)</f>
        <v>VÍCTOR LEONARDO OLMEDO GONZALEZ</v>
      </c>
      <c r="C52" s="18" t="s">
        <v>112</v>
      </c>
      <c r="D52" s="26" t="str">
        <f>IF(BASE_DE_DATOS!V6="","",BASE_DE_DATOS!V6)</f>
        <v>0101P3402484l</v>
      </c>
    </row>
    <row r="53" spans="1:4" x14ac:dyDescent="0.35">
      <c r="A53" s="18" t="s">
        <v>113</v>
      </c>
      <c r="B53" s="26" t="str">
        <f>IF(BASE_DE_DATOS!F6="","",BASE_DE_DATOS!F6)</f>
        <v>09:00</v>
      </c>
      <c r="C53" s="18" t="s">
        <v>114</v>
      </c>
      <c r="D53" s="26" t="str">
        <f>IF(BASE_DE_DATOS!O6="","",BASE_DE_DATOS!O6)</f>
        <v/>
      </c>
    </row>
    <row r="54" spans="1:4" x14ac:dyDescent="0.35">
      <c r="A54" s="18" t="s">
        <v>115</v>
      </c>
      <c r="B54" s="19" t="s">
        <v>116</v>
      </c>
      <c r="C54" s="18" t="s">
        <v>117</v>
      </c>
      <c r="D54" s="26">
        <f>IF(BASE_DE_DATOS!G6="","",BASE_DE_DATOS!G6)</f>
        <v>23799</v>
      </c>
    </row>
    <row r="55" spans="1:4" x14ac:dyDescent="0.35">
      <c r="A55" s="18" t="s">
        <v>118</v>
      </c>
      <c r="B55" s="26" t="str">
        <f>IF(BASE_DE_DATOS!I6="","",BASE_DE_DATOS!I6)</f>
        <v>19:00</v>
      </c>
      <c r="C55" s="18" t="s">
        <v>119</v>
      </c>
      <c r="D55" s="26">
        <f>IF(BASE_DE_DATOS!J6="","",BASE_DE_DATOS!J6)</f>
        <v>23849</v>
      </c>
    </row>
    <row r="56" spans="1:4" x14ac:dyDescent="0.35">
      <c r="A56" s="18" t="s">
        <v>115</v>
      </c>
      <c r="B56" s="19" t="s">
        <v>116</v>
      </c>
      <c r="C56" s="45">
        <f>IF(BASE_DE_DATOS!N6="","",BASE_DE_DATOS!N6)</f>
        <v>200</v>
      </c>
      <c r="D56" s="41"/>
    </row>
    <row r="57" spans="1:4" x14ac:dyDescent="0.35">
      <c r="A57" s="18" t="s">
        <v>120</v>
      </c>
      <c r="B57" s="26" t="str">
        <f>IF(BASE_DE_DATOS!C6="","",BASE_DE_DATOS!C6)</f>
        <v>TULTITLAN</v>
      </c>
      <c r="C57" s="18" t="s">
        <v>121</v>
      </c>
      <c r="D57" s="19"/>
    </row>
    <row r="58" spans="1:4" x14ac:dyDescent="0.35">
      <c r="A58" s="18" t="s">
        <v>122</v>
      </c>
      <c r="B58" s="44" t="str">
        <f>IF(BASE_DE_DATOS!D6="","",BASE_DE_DATOS!D6)</f>
        <v/>
      </c>
      <c r="C58" s="40"/>
      <c r="D58" s="41"/>
    </row>
    <row r="61" spans="1:4" ht="18.5" customHeight="1" x14ac:dyDescent="0.35">
      <c r="A61" s="43" t="str">
        <f>"BITÁCORA " &amp; VLOOKUP(D62, BASE_DE_DATOS!$A$2:$B$100, 2, FALSE)</f>
        <v>BITÁCORA OCTUBRE</v>
      </c>
      <c r="B61" s="40"/>
      <c r="C61" s="40"/>
      <c r="D61" s="41"/>
    </row>
    <row r="62" spans="1:4" x14ac:dyDescent="0.35">
      <c r="A62" s="18" t="s">
        <v>107</v>
      </c>
      <c r="B62" s="19" t="s">
        <v>29</v>
      </c>
      <c r="C62" s="18" t="s">
        <v>108</v>
      </c>
      <c r="D62" s="26">
        <f>IF(BASE_DE_DATOS!A7="","",BASE_DE_DATOS!A7)</f>
        <v>46305</v>
      </c>
    </row>
    <row r="63" spans="1:4" x14ac:dyDescent="0.35">
      <c r="A63" s="18" t="s">
        <v>109</v>
      </c>
      <c r="B63" s="26" t="str">
        <f>IF(BASE_DE_DATOS!T7="","",BASE_DE_DATOS!T7)</f>
        <v>NISSAN VERSA</v>
      </c>
      <c r="C63" s="18" t="s">
        <v>110</v>
      </c>
      <c r="D63" s="26" t="str">
        <f>IF(BASE_DE_DATOS!U7="","",BASE_DE_DATOS!U7)</f>
        <v>MGX-543-A</v>
      </c>
    </row>
    <row r="64" spans="1:4" x14ac:dyDescent="0.35">
      <c r="A64" s="18" t="s">
        <v>111</v>
      </c>
      <c r="B64" s="26" t="str">
        <f>IF(BASE_DE_DATOS!R7="","",BASE_DE_DATOS!R7)</f>
        <v>VÍCTOR LEONARDO OLMEDO GONZALEZ</v>
      </c>
      <c r="C64" s="18" t="s">
        <v>112</v>
      </c>
      <c r="D64" s="26" t="str">
        <f>IF(BASE_DE_DATOS!V7="","",BASE_DE_DATOS!V7)</f>
        <v>0101P3402484l</v>
      </c>
    </row>
    <row r="65" spans="1:4" x14ac:dyDescent="0.35">
      <c r="A65" s="18" t="s">
        <v>113</v>
      </c>
      <c r="B65" s="26" t="str">
        <f>IF(BASE_DE_DATOS!F7="","",BASE_DE_DATOS!F7)</f>
        <v>09:00</v>
      </c>
      <c r="C65" s="18" t="s">
        <v>114</v>
      </c>
      <c r="D65" s="26" t="str">
        <f>IF(BASE_DE_DATOS!O7="","",BASE_DE_DATOS!O7)</f>
        <v/>
      </c>
    </row>
    <row r="66" spans="1:4" x14ac:dyDescent="0.35">
      <c r="A66" s="18" t="s">
        <v>115</v>
      </c>
      <c r="B66" s="19" t="s">
        <v>116</v>
      </c>
      <c r="C66" s="18" t="s">
        <v>117</v>
      </c>
      <c r="D66" s="26">
        <f>IF(BASE_DE_DATOS!G7="","",BASE_DE_DATOS!G7)</f>
        <v>23849</v>
      </c>
    </row>
    <row r="67" spans="1:4" x14ac:dyDescent="0.35">
      <c r="A67" s="18" t="s">
        <v>118</v>
      </c>
      <c r="B67" s="26" t="str">
        <f>IF(BASE_DE_DATOS!I7="","",BASE_DE_DATOS!I7)</f>
        <v>19:00</v>
      </c>
      <c r="C67" s="18" t="s">
        <v>119</v>
      </c>
      <c r="D67" s="26">
        <f>IF(BASE_DE_DATOS!J7="","",BASE_DE_DATOS!J7)</f>
        <v>23849</v>
      </c>
    </row>
    <row r="68" spans="1:4" x14ac:dyDescent="0.35">
      <c r="A68" s="18" t="s">
        <v>115</v>
      </c>
      <c r="B68" s="19" t="s">
        <v>116</v>
      </c>
      <c r="C68" s="45" t="str">
        <f>IF(BASE_DE_DATOS!N7="","",BASE_DE_DATOS!N7)</f>
        <v/>
      </c>
      <c r="D68" s="41"/>
    </row>
    <row r="69" spans="1:4" x14ac:dyDescent="0.35">
      <c r="A69" s="18" t="s">
        <v>120</v>
      </c>
      <c r="B69" s="26" t="str">
        <f>IF(BASE_DE_DATOS!C7="","",BASE_DE_DATOS!C7)</f>
        <v>ZITACUARO</v>
      </c>
      <c r="C69" s="18" t="s">
        <v>121</v>
      </c>
      <c r="D69" s="19"/>
    </row>
    <row r="70" spans="1:4" x14ac:dyDescent="0.35">
      <c r="A70" s="18" t="s">
        <v>122</v>
      </c>
      <c r="B70" s="44" t="str">
        <f>IF(BASE_DE_DATOS!D7="","",BASE_DE_DATOS!D7)</f>
        <v/>
      </c>
      <c r="C70" s="40"/>
      <c r="D70" s="41"/>
    </row>
    <row r="73" spans="1:4" ht="18.5" customHeight="1" x14ac:dyDescent="0.35">
      <c r="A73" s="43" t="str">
        <f>"BITÁCORA " &amp; VLOOKUP(D74, BASE_DE_DATOS!$A$2:$B$100, 2, FALSE)</f>
        <v>BITÁCORA JULIO</v>
      </c>
      <c r="B73" s="40"/>
      <c r="C73" s="40"/>
      <c r="D73" s="41"/>
    </row>
    <row r="74" spans="1:4" x14ac:dyDescent="0.35">
      <c r="A74" s="18" t="s">
        <v>107</v>
      </c>
      <c r="B74" s="19" t="s">
        <v>29</v>
      </c>
      <c r="C74" s="18" t="s">
        <v>108</v>
      </c>
      <c r="D74" s="26" t="str">
        <f>IF(BASE_DE_DATOS!A8="","",BASE_DE_DATOS!A8)</f>
        <v>07/07/2026</v>
      </c>
    </row>
    <row r="75" spans="1:4" x14ac:dyDescent="0.35">
      <c r="A75" s="18" t="s">
        <v>109</v>
      </c>
      <c r="B75" s="26" t="str">
        <f>IF(BASE_DE_DATOS!T8="","",BASE_DE_DATOS!T8)</f>
        <v>NISSAN VERSA</v>
      </c>
      <c r="C75" s="18" t="s">
        <v>110</v>
      </c>
      <c r="D75" s="26" t="str">
        <f>IF(BASE_DE_DATOS!U8="","",BASE_DE_DATOS!U8)</f>
        <v>MGX-543-A</v>
      </c>
    </row>
    <row r="76" spans="1:4" x14ac:dyDescent="0.35">
      <c r="A76" s="18" t="s">
        <v>111</v>
      </c>
      <c r="B76" s="26" t="str">
        <f>IF(BASE_DE_DATOS!R8="","",BASE_DE_DATOS!R8)</f>
        <v>VÍCTOR LEONARDO OLMEDO GONZALEZ</v>
      </c>
      <c r="C76" s="18" t="s">
        <v>112</v>
      </c>
      <c r="D76" s="26" t="str">
        <f>IF(BASE_DE_DATOS!V8="","",BASE_DE_DATOS!V8)</f>
        <v>0101P3402484l</v>
      </c>
    </row>
    <row r="77" spans="1:4" x14ac:dyDescent="0.35">
      <c r="A77" s="18" t="s">
        <v>113</v>
      </c>
      <c r="B77" s="26" t="str">
        <f>IF(BASE_DE_DATOS!F8="","",BASE_DE_DATOS!F8)</f>
        <v>09:00</v>
      </c>
      <c r="C77" s="18" t="s">
        <v>114</v>
      </c>
      <c r="D77" s="26" t="str">
        <f>IF(BASE_DE_DATOS!O8="","",BASE_DE_DATOS!O8)</f>
        <v/>
      </c>
    </row>
    <row r="78" spans="1:4" x14ac:dyDescent="0.35">
      <c r="A78" s="18" t="s">
        <v>115</v>
      </c>
      <c r="B78" s="19" t="s">
        <v>116</v>
      </c>
      <c r="C78" s="18" t="s">
        <v>117</v>
      </c>
      <c r="D78" s="26">
        <f>IF(BASE_DE_DATOS!G8="","",BASE_DE_DATOS!G8)</f>
        <v>23849</v>
      </c>
    </row>
    <row r="79" spans="1:4" x14ac:dyDescent="0.35">
      <c r="A79" s="18" t="s">
        <v>118</v>
      </c>
      <c r="B79" s="26" t="str">
        <f>IF(BASE_DE_DATOS!I8="","",BASE_DE_DATOS!I8)</f>
        <v>19:00</v>
      </c>
      <c r="C79" s="18" t="s">
        <v>119</v>
      </c>
      <c r="D79" s="26">
        <f>IF(BASE_DE_DATOS!J8="","",BASE_DE_DATOS!J8)</f>
        <v>23849</v>
      </c>
    </row>
    <row r="80" spans="1:4" x14ac:dyDescent="0.35">
      <c r="A80" s="18" t="s">
        <v>115</v>
      </c>
      <c r="B80" s="19" t="s">
        <v>116</v>
      </c>
      <c r="C80" s="45" t="str">
        <f>IF(BASE_DE_DATOS!N8="","",BASE_DE_DATOS!N8)</f>
        <v/>
      </c>
      <c r="D80" s="41"/>
    </row>
    <row r="81" spans="1:4" x14ac:dyDescent="0.35">
      <c r="A81" s="18" t="s">
        <v>120</v>
      </c>
      <c r="B81" s="26" t="str">
        <f>IF(BASE_DE_DATOS!C8="","",BASE_DE_DATOS!C8)</f>
        <v/>
      </c>
      <c r="C81" s="18" t="s">
        <v>121</v>
      </c>
      <c r="D81" s="19"/>
    </row>
    <row r="82" spans="1:4" x14ac:dyDescent="0.35">
      <c r="A82" s="18" t="s">
        <v>122</v>
      </c>
      <c r="B82" s="44" t="str">
        <f>IF(BASE_DE_DATOS!D8="","",BASE_DE_DATOS!D8)</f>
        <v/>
      </c>
      <c r="C82" s="40"/>
      <c r="D82" s="41"/>
    </row>
    <row r="85" spans="1:4" ht="18.5" customHeight="1" x14ac:dyDescent="0.35">
      <c r="A85" s="43" t="str">
        <f>"BITÁCORA " &amp; VLOOKUP(D86, BASE_DE_DATOS!$A$2:$B$100, 2, FALSE)</f>
        <v>BITÁCORA JULIO</v>
      </c>
      <c r="B85" s="40"/>
      <c r="C85" s="40"/>
      <c r="D85" s="41"/>
    </row>
    <row r="86" spans="1:4" x14ac:dyDescent="0.35">
      <c r="A86" s="18" t="s">
        <v>107</v>
      </c>
      <c r="B86" s="19" t="s">
        <v>29</v>
      </c>
      <c r="C86" s="18" t="s">
        <v>108</v>
      </c>
      <c r="D86" s="26" t="str">
        <f>IF(BASE_DE_DATOS!A9="","",BASE_DE_DATOS!A9)</f>
        <v>08/07/2026</v>
      </c>
    </row>
    <row r="87" spans="1:4" x14ac:dyDescent="0.35">
      <c r="A87" s="18" t="s">
        <v>109</v>
      </c>
      <c r="B87" s="26" t="str">
        <f>IF(BASE_DE_DATOS!T9="","",BASE_DE_DATOS!T9)</f>
        <v>NISSAN VERSA</v>
      </c>
      <c r="C87" s="18" t="s">
        <v>110</v>
      </c>
      <c r="D87" s="26" t="str">
        <f>IF(BASE_DE_DATOS!U9="","",BASE_DE_DATOS!U9)</f>
        <v>MGX-543-A</v>
      </c>
    </row>
    <row r="88" spans="1:4" x14ac:dyDescent="0.35">
      <c r="A88" s="18" t="s">
        <v>111</v>
      </c>
      <c r="B88" s="26" t="str">
        <f>IF(BASE_DE_DATOS!R9="","",BASE_DE_DATOS!R9)</f>
        <v>VÍCTOR LEONARDO OLMEDO GONZALEZ</v>
      </c>
      <c r="C88" s="18" t="s">
        <v>112</v>
      </c>
      <c r="D88" s="26" t="str">
        <f>IF(BASE_DE_DATOS!V9="","",BASE_DE_DATOS!V9)</f>
        <v>0101P3402484l</v>
      </c>
    </row>
    <row r="89" spans="1:4" x14ac:dyDescent="0.35">
      <c r="A89" s="18" t="s">
        <v>113</v>
      </c>
      <c r="B89" s="26" t="str">
        <f>IF(BASE_DE_DATOS!F9="","",BASE_DE_DATOS!F9)</f>
        <v>09:00</v>
      </c>
      <c r="C89" s="18" t="s">
        <v>114</v>
      </c>
      <c r="D89" s="26" t="str">
        <f>IF(BASE_DE_DATOS!O9="","",BASE_DE_DATOS!O9)</f>
        <v/>
      </c>
    </row>
    <row r="90" spans="1:4" x14ac:dyDescent="0.35">
      <c r="A90" s="18" t="s">
        <v>115</v>
      </c>
      <c r="B90" s="19" t="s">
        <v>116</v>
      </c>
      <c r="C90" s="18" t="s">
        <v>117</v>
      </c>
      <c r="D90" s="26">
        <f>IF(BASE_DE_DATOS!G9="","",BASE_DE_DATOS!G9)</f>
        <v>23849</v>
      </c>
    </row>
    <row r="91" spans="1:4" x14ac:dyDescent="0.35">
      <c r="A91" s="18" t="s">
        <v>118</v>
      </c>
      <c r="B91" s="26" t="str">
        <f>IF(BASE_DE_DATOS!I9="","",BASE_DE_DATOS!I9)</f>
        <v>19:00</v>
      </c>
      <c r="C91" s="18" t="s">
        <v>119</v>
      </c>
      <c r="D91" s="26">
        <f>IF(BASE_DE_DATOS!J9="","",BASE_DE_DATOS!J9)</f>
        <v>23849</v>
      </c>
    </row>
    <row r="92" spans="1:4" x14ac:dyDescent="0.35">
      <c r="A92" s="18" t="s">
        <v>115</v>
      </c>
      <c r="B92" s="19" t="s">
        <v>116</v>
      </c>
      <c r="C92" s="45" t="str">
        <f>IF(BASE_DE_DATOS!N9="","",BASE_DE_DATOS!N9)</f>
        <v/>
      </c>
      <c r="D92" s="41"/>
    </row>
    <row r="93" spans="1:4" x14ac:dyDescent="0.35">
      <c r="A93" s="18" t="s">
        <v>120</v>
      </c>
      <c r="B93" s="26" t="str">
        <f>IF(BASE_DE_DATOS!C9="","",BASE_DE_DATOS!C9)</f>
        <v/>
      </c>
      <c r="C93" s="18" t="s">
        <v>121</v>
      </c>
      <c r="D93" s="19"/>
    </row>
    <row r="94" spans="1:4" x14ac:dyDescent="0.35">
      <c r="A94" s="18" t="s">
        <v>122</v>
      </c>
      <c r="B94" s="44" t="str">
        <f>IF(BASE_DE_DATOS!D9="","",BASE_DE_DATOS!D9)</f>
        <v/>
      </c>
      <c r="C94" s="40"/>
      <c r="D94" s="41"/>
    </row>
    <row r="97" spans="1:4" ht="18.5" customHeight="1" x14ac:dyDescent="0.35">
      <c r="A97" s="43" t="str">
        <f>"BITÁCORA " &amp; VLOOKUP(D98, BASE_DE_DATOS!$A$2:$B$100, 2, FALSE)</f>
        <v>BITÁCORA JULIO</v>
      </c>
      <c r="B97" s="40"/>
      <c r="C97" s="40"/>
      <c r="D97" s="41"/>
    </row>
    <row r="98" spans="1:4" x14ac:dyDescent="0.35">
      <c r="A98" s="18" t="s">
        <v>107</v>
      </c>
      <c r="B98" s="19" t="s">
        <v>29</v>
      </c>
      <c r="C98" s="18" t="s">
        <v>108</v>
      </c>
      <c r="D98" s="26" t="str">
        <f>IF(BASE_DE_DATOS!A10="","",BASE_DE_DATOS!A10)</f>
        <v>09/07/2026</v>
      </c>
    </row>
    <row r="99" spans="1:4" x14ac:dyDescent="0.35">
      <c r="A99" s="18" t="s">
        <v>109</v>
      </c>
      <c r="B99" s="26" t="str">
        <f>IF(BASE_DE_DATOS!T10="","",BASE_DE_DATOS!T10)</f>
        <v>NISSAN VERSA</v>
      </c>
      <c r="C99" s="18" t="s">
        <v>110</v>
      </c>
      <c r="D99" s="26" t="str">
        <f>IF(BASE_DE_DATOS!U10="","",BASE_DE_DATOS!U10)</f>
        <v>MGX-543-A</v>
      </c>
    </row>
    <row r="100" spans="1:4" x14ac:dyDescent="0.35">
      <c r="A100" s="18" t="s">
        <v>111</v>
      </c>
      <c r="B100" s="26" t="str">
        <f>IF(BASE_DE_DATOS!R10="","",BASE_DE_DATOS!R10)</f>
        <v>VÍCTOR LEONARDO OLMEDO GONZALEZ</v>
      </c>
      <c r="C100" s="18" t="s">
        <v>112</v>
      </c>
      <c r="D100" s="26" t="str">
        <f>IF(BASE_DE_DATOS!V10="","",BASE_DE_DATOS!V10)</f>
        <v>0101P3402484l</v>
      </c>
    </row>
    <row r="101" spans="1:4" x14ac:dyDescent="0.35">
      <c r="A101" s="18" t="s">
        <v>113</v>
      </c>
      <c r="B101" s="26" t="str">
        <f>IF(BASE_DE_DATOS!F10="","",BASE_DE_DATOS!F10)</f>
        <v>09:00</v>
      </c>
      <c r="C101" s="18" t="s">
        <v>114</v>
      </c>
      <c r="D101" s="26" t="str">
        <f>IF(BASE_DE_DATOS!O10="","",BASE_DE_DATOS!O10)</f>
        <v/>
      </c>
    </row>
    <row r="102" spans="1:4" x14ac:dyDescent="0.35">
      <c r="A102" s="18" t="s">
        <v>115</v>
      </c>
      <c r="B102" s="19" t="s">
        <v>116</v>
      </c>
      <c r="C102" s="18" t="s">
        <v>117</v>
      </c>
      <c r="D102" s="26">
        <f>IF(BASE_DE_DATOS!G10="","",BASE_DE_DATOS!G10)</f>
        <v>23849</v>
      </c>
    </row>
    <row r="103" spans="1:4" x14ac:dyDescent="0.35">
      <c r="A103" s="18" t="s">
        <v>118</v>
      </c>
      <c r="B103" s="26" t="str">
        <f>IF(BASE_DE_DATOS!I10="","",BASE_DE_DATOS!I10)</f>
        <v>19:00</v>
      </c>
      <c r="C103" s="18" t="s">
        <v>119</v>
      </c>
      <c r="D103" s="26">
        <f>IF(BASE_DE_DATOS!J10="","",BASE_DE_DATOS!J10)</f>
        <v>23849</v>
      </c>
    </row>
    <row r="104" spans="1:4" x14ac:dyDescent="0.35">
      <c r="A104" s="18" t="s">
        <v>115</v>
      </c>
      <c r="B104" s="19" t="s">
        <v>116</v>
      </c>
      <c r="C104" s="45" t="str">
        <f>IF(BASE_DE_DATOS!N10="","",BASE_DE_DATOS!N10)</f>
        <v/>
      </c>
      <c r="D104" s="41"/>
    </row>
    <row r="105" spans="1:4" x14ac:dyDescent="0.35">
      <c r="A105" s="18" t="s">
        <v>120</v>
      </c>
      <c r="B105" s="26" t="str">
        <f>IF(BASE_DE_DATOS!C10="","",BASE_DE_DATOS!C10)</f>
        <v/>
      </c>
      <c r="C105" s="18" t="s">
        <v>121</v>
      </c>
      <c r="D105" s="19"/>
    </row>
    <row r="106" spans="1:4" x14ac:dyDescent="0.35">
      <c r="A106" s="18" t="s">
        <v>122</v>
      </c>
      <c r="B106" s="44" t="str">
        <f>IF(BASE_DE_DATOS!D10="","",BASE_DE_DATOS!D10)</f>
        <v/>
      </c>
      <c r="C106" s="40"/>
      <c r="D106" s="41"/>
    </row>
    <row r="109" spans="1:4" ht="18.5" customHeight="1" x14ac:dyDescent="0.35">
      <c r="A109" s="43" t="str">
        <f>"BITÁCORA " &amp; VLOOKUP(D110, BASE_DE_DATOS!$A$2:$B$100, 2, FALSE)</f>
        <v>BITÁCORA JULIO</v>
      </c>
      <c r="B109" s="40"/>
      <c r="C109" s="40"/>
      <c r="D109" s="41"/>
    </row>
    <row r="110" spans="1:4" x14ac:dyDescent="0.35">
      <c r="A110" s="18" t="s">
        <v>107</v>
      </c>
      <c r="B110" s="19" t="s">
        <v>29</v>
      </c>
      <c r="C110" s="18" t="s">
        <v>108</v>
      </c>
      <c r="D110" s="26" t="str">
        <f>IF(BASE_DE_DATOS!A11="","",BASE_DE_DATOS!A11)</f>
        <v>10/07/2026</v>
      </c>
    </row>
    <row r="111" spans="1:4" x14ac:dyDescent="0.35">
      <c r="A111" s="18" t="s">
        <v>109</v>
      </c>
      <c r="B111" s="26" t="str">
        <f>IF(BASE_DE_DATOS!T11="","",BASE_DE_DATOS!T11)</f>
        <v>NISSAN VERSA</v>
      </c>
      <c r="C111" s="18" t="s">
        <v>110</v>
      </c>
      <c r="D111" s="26" t="str">
        <f>IF(BASE_DE_DATOS!U11="","",BASE_DE_DATOS!U11)</f>
        <v>MGX-543-A</v>
      </c>
    </row>
    <row r="112" spans="1:4" x14ac:dyDescent="0.35">
      <c r="A112" s="18" t="s">
        <v>111</v>
      </c>
      <c r="B112" s="26" t="str">
        <f>IF(BASE_DE_DATOS!R11="","",BASE_DE_DATOS!R11)</f>
        <v>VÍCTOR LEONARDO OLMEDO GONZALEZ</v>
      </c>
      <c r="C112" s="18" t="s">
        <v>112</v>
      </c>
      <c r="D112" s="26" t="str">
        <f>IF(BASE_DE_DATOS!V11="","",BASE_DE_DATOS!V11)</f>
        <v>0101P3402484l</v>
      </c>
    </row>
    <row r="113" spans="1:4" x14ac:dyDescent="0.35">
      <c r="A113" s="18" t="s">
        <v>113</v>
      </c>
      <c r="B113" s="26" t="str">
        <f>IF(BASE_DE_DATOS!F11="","",BASE_DE_DATOS!F11)</f>
        <v>09:00</v>
      </c>
      <c r="C113" s="18" t="s">
        <v>114</v>
      </c>
      <c r="D113" s="26" t="str">
        <f>IF(BASE_DE_DATOS!O11="","",BASE_DE_DATOS!O11)</f>
        <v/>
      </c>
    </row>
    <row r="114" spans="1:4" x14ac:dyDescent="0.35">
      <c r="A114" s="18" t="s">
        <v>115</v>
      </c>
      <c r="B114" s="19" t="s">
        <v>116</v>
      </c>
      <c r="C114" s="18" t="s">
        <v>117</v>
      </c>
      <c r="D114" s="26">
        <f>IF(BASE_DE_DATOS!G11="","",BASE_DE_DATOS!G11)</f>
        <v>23849</v>
      </c>
    </row>
    <row r="115" spans="1:4" x14ac:dyDescent="0.35">
      <c r="A115" s="18" t="s">
        <v>118</v>
      </c>
      <c r="B115" s="26" t="str">
        <f>IF(BASE_DE_DATOS!I11="","",BASE_DE_DATOS!I11)</f>
        <v>19:00</v>
      </c>
      <c r="C115" s="18" t="s">
        <v>119</v>
      </c>
      <c r="D115" s="26">
        <f>IF(BASE_DE_DATOS!J11="","",BASE_DE_DATOS!J11)</f>
        <v>23849</v>
      </c>
    </row>
    <row r="116" spans="1:4" x14ac:dyDescent="0.35">
      <c r="A116" s="18" t="s">
        <v>115</v>
      </c>
      <c r="B116" s="19" t="s">
        <v>116</v>
      </c>
      <c r="C116" s="45" t="str">
        <f>IF(BASE_DE_DATOS!N11="","",BASE_DE_DATOS!N11)</f>
        <v/>
      </c>
      <c r="D116" s="41"/>
    </row>
    <row r="117" spans="1:4" x14ac:dyDescent="0.35">
      <c r="A117" s="18" t="s">
        <v>120</v>
      </c>
      <c r="B117" s="26" t="str">
        <f>IF(BASE_DE_DATOS!C11="","",BASE_DE_DATOS!C11)</f>
        <v/>
      </c>
      <c r="C117" s="18" t="s">
        <v>121</v>
      </c>
      <c r="D117" s="19"/>
    </row>
    <row r="118" spans="1:4" x14ac:dyDescent="0.35">
      <c r="A118" s="18" t="s">
        <v>122</v>
      </c>
      <c r="B118" s="44" t="str">
        <f>IF(BASE_DE_DATOS!D11="","",BASE_DE_DATOS!D11)</f>
        <v/>
      </c>
      <c r="C118" s="40"/>
      <c r="D118" s="41"/>
    </row>
    <row r="121" spans="1:4" ht="18.5" customHeight="1" x14ac:dyDescent="0.35">
      <c r="A121" s="43" t="str">
        <f>"BITÁCORA " &amp; VLOOKUP(D122, BASE_DE_DATOS!$A$2:$B$100, 2, FALSE)</f>
        <v>BITÁCORA JULIO</v>
      </c>
      <c r="B121" s="40"/>
      <c r="C121" s="40"/>
      <c r="D121" s="41"/>
    </row>
    <row r="122" spans="1:4" x14ac:dyDescent="0.35">
      <c r="A122" s="18" t="s">
        <v>107</v>
      </c>
      <c r="B122" s="19" t="s">
        <v>29</v>
      </c>
      <c r="C122" s="18" t="s">
        <v>108</v>
      </c>
      <c r="D122" s="26" t="str">
        <f>IF(BASE_DE_DATOS!A12="","",BASE_DE_DATOS!A12)</f>
        <v>11/07/2026</v>
      </c>
    </row>
    <row r="123" spans="1:4" x14ac:dyDescent="0.35">
      <c r="A123" s="18" t="s">
        <v>109</v>
      </c>
      <c r="B123" s="26" t="str">
        <f>IF(BASE_DE_DATOS!T12="","",BASE_DE_DATOS!T12)</f>
        <v>NISSAN VERSA</v>
      </c>
      <c r="C123" s="18" t="s">
        <v>110</v>
      </c>
      <c r="D123" s="26" t="str">
        <f>IF(BASE_DE_DATOS!U12="","",BASE_DE_DATOS!U12)</f>
        <v>MGX-543-A</v>
      </c>
    </row>
    <row r="124" spans="1:4" x14ac:dyDescent="0.35">
      <c r="A124" s="18" t="s">
        <v>111</v>
      </c>
      <c r="B124" s="26" t="str">
        <f>IF(BASE_DE_DATOS!R12="","",BASE_DE_DATOS!R12)</f>
        <v>VÍCTOR LEONARDO OLMEDO GONZALEZ</v>
      </c>
      <c r="C124" s="18" t="s">
        <v>112</v>
      </c>
      <c r="D124" s="26" t="str">
        <f>IF(BASE_DE_DATOS!V12="","",BASE_DE_DATOS!V12)</f>
        <v>0101P3402484l</v>
      </c>
    </row>
    <row r="125" spans="1:4" x14ac:dyDescent="0.35">
      <c r="A125" s="18" t="s">
        <v>113</v>
      </c>
      <c r="B125" s="26" t="str">
        <f>IF(BASE_DE_DATOS!F12="","",BASE_DE_DATOS!F12)</f>
        <v>09:00</v>
      </c>
      <c r="C125" s="18" t="s">
        <v>114</v>
      </c>
      <c r="D125" s="26" t="str">
        <f>IF(BASE_DE_DATOS!O12="","",BASE_DE_DATOS!O12)</f>
        <v/>
      </c>
    </row>
    <row r="126" spans="1:4" x14ac:dyDescent="0.35">
      <c r="A126" s="18" t="s">
        <v>115</v>
      </c>
      <c r="B126" s="19" t="s">
        <v>116</v>
      </c>
      <c r="C126" s="18" t="s">
        <v>117</v>
      </c>
      <c r="D126" s="26">
        <f>IF(BASE_DE_DATOS!G12="","",BASE_DE_DATOS!G12)</f>
        <v>23849</v>
      </c>
    </row>
    <row r="127" spans="1:4" x14ac:dyDescent="0.35">
      <c r="A127" s="18" t="s">
        <v>118</v>
      </c>
      <c r="B127" s="26" t="str">
        <f>IF(BASE_DE_DATOS!I12="","",BASE_DE_DATOS!I12)</f>
        <v>19:00</v>
      </c>
      <c r="C127" s="18" t="s">
        <v>119</v>
      </c>
      <c r="D127" s="26">
        <f>IF(BASE_DE_DATOS!J12="","",BASE_DE_DATOS!J12)</f>
        <v>23849</v>
      </c>
    </row>
    <row r="128" spans="1:4" x14ac:dyDescent="0.35">
      <c r="A128" s="18" t="s">
        <v>115</v>
      </c>
      <c r="B128" s="19" t="s">
        <v>116</v>
      </c>
      <c r="C128" s="45" t="str">
        <f>IF(BASE_DE_DATOS!N12="","",BASE_DE_DATOS!N12)</f>
        <v/>
      </c>
      <c r="D128" s="41"/>
    </row>
    <row r="129" spans="1:4" x14ac:dyDescent="0.35">
      <c r="A129" s="18" t="s">
        <v>120</v>
      </c>
      <c r="B129" s="26" t="str">
        <f>IF(BASE_DE_DATOS!C12="","",BASE_DE_DATOS!C12)</f>
        <v/>
      </c>
      <c r="C129" s="18" t="s">
        <v>121</v>
      </c>
      <c r="D129" s="19"/>
    </row>
    <row r="130" spans="1:4" x14ac:dyDescent="0.35">
      <c r="A130" s="18" t="s">
        <v>122</v>
      </c>
      <c r="B130" s="44" t="str">
        <f>IF(BASE_DE_DATOS!D12="","",BASE_DE_DATOS!D12)</f>
        <v/>
      </c>
      <c r="C130" s="40"/>
      <c r="D130" s="41"/>
    </row>
    <row r="133" spans="1:4" ht="18.5" customHeight="1" x14ac:dyDescent="0.35">
      <c r="A133" s="43" t="str">
        <f>"BITÁCORA " &amp; VLOOKUP(D134, BASE_DE_DATOS!$A$2:$B$100, 2, FALSE)</f>
        <v>BITÁCORA JULIO</v>
      </c>
      <c r="B133" s="40"/>
      <c r="C133" s="40"/>
      <c r="D133" s="41"/>
    </row>
    <row r="134" spans="1:4" x14ac:dyDescent="0.35">
      <c r="A134" s="18" t="s">
        <v>107</v>
      </c>
      <c r="B134" s="19" t="s">
        <v>29</v>
      </c>
      <c r="C134" s="18" t="s">
        <v>108</v>
      </c>
      <c r="D134" s="26" t="str">
        <f>IF(BASE_DE_DATOS!A13="","",BASE_DE_DATOS!A13)</f>
        <v>12/07/2026</v>
      </c>
    </row>
    <row r="135" spans="1:4" x14ac:dyDescent="0.35">
      <c r="A135" s="18" t="s">
        <v>109</v>
      </c>
      <c r="B135" s="26" t="str">
        <f>IF(BASE_DE_DATOS!T13="","",BASE_DE_DATOS!T13)</f>
        <v>NISSAN VERSA</v>
      </c>
      <c r="C135" s="18" t="s">
        <v>110</v>
      </c>
      <c r="D135" s="26" t="str">
        <f>IF(BASE_DE_DATOS!U13="","",BASE_DE_DATOS!U13)</f>
        <v>MGX-543-A</v>
      </c>
    </row>
    <row r="136" spans="1:4" x14ac:dyDescent="0.35">
      <c r="A136" s="18" t="s">
        <v>111</v>
      </c>
      <c r="B136" s="26" t="str">
        <f>IF(BASE_DE_DATOS!R13="","",BASE_DE_DATOS!R13)</f>
        <v>VÍCTOR LEONARDO OLMEDO GONZALEZ</v>
      </c>
      <c r="C136" s="18" t="s">
        <v>112</v>
      </c>
      <c r="D136" s="26" t="str">
        <f>IF(BASE_DE_DATOS!V13="","",BASE_DE_DATOS!V13)</f>
        <v>0101P3402484l</v>
      </c>
    </row>
    <row r="137" spans="1:4" x14ac:dyDescent="0.35">
      <c r="A137" s="18" t="s">
        <v>113</v>
      </c>
      <c r="B137" s="26" t="str">
        <f>IF(BASE_DE_DATOS!F13="","",BASE_DE_DATOS!F13)</f>
        <v>09:00</v>
      </c>
      <c r="C137" s="18" t="s">
        <v>114</v>
      </c>
      <c r="D137" s="26" t="str">
        <f>IF(BASE_DE_DATOS!O13="","",BASE_DE_DATOS!O13)</f>
        <v/>
      </c>
    </row>
    <row r="138" spans="1:4" x14ac:dyDescent="0.35">
      <c r="A138" s="18" t="s">
        <v>115</v>
      </c>
      <c r="B138" s="19" t="s">
        <v>116</v>
      </c>
      <c r="C138" s="18" t="s">
        <v>117</v>
      </c>
      <c r="D138" s="26">
        <f>IF(BASE_DE_DATOS!G13="","",BASE_DE_DATOS!G13)</f>
        <v>23849</v>
      </c>
    </row>
    <row r="139" spans="1:4" x14ac:dyDescent="0.35">
      <c r="A139" s="18" t="s">
        <v>118</v>
      </c>
      <c r="B139" s="26" t="str">
        <f>IF(BASE_DE_DATOS!I13="","",BASE_DE_DATOS!I13)</f>
        <v>19:00</v>
      </c>
      <c r="C139" s="18" t="s">
        <v>119</v>
      </c>
      <c r="D139" s="26">
        <f>IF(BASE_DE_DATOS!J13="","",BASE_DE_DATOS!J13)</f>
        <v>23849</v>
      </c>
    </row>
    <row r="140" spans="1:4" x14ac:dyDescent="0.35">
      <c r="A140" s="18" t="s">
        <v>115</v>
      </c>
      <c r="B140" s="19" t="s">
        <v>116</v>
      </c>
      <c r="C140" s="45" t="str">
        <f>IF(BASE_DE_DATOS!N13="","",BASE_DE_DATOS!N13)</f>
        <v/>
      </c>
      <c r="D140" s="41"/>
    </row>
    <row r="141" spans="1:4" x14ac:dyDescent="0.35">
      <c r="A141" s="18" t="s">
        <v>120</v>
      </c>
      <c r="B141" s="26" t="str">
        <f>IF(BASE_DE_DATOS!C13="","",BASE_DE_DATOS!C13)</f>
        <v/>
      </c>
      <c r="C141" s="18" t="s">
        <v>121</v>
      </c>
      <c r="D141" s="19"/>
    </row>
    <row r="142" spans="1:4" x14ac:dyDescent="0.35">
      <c r="A142" s="18" t="s">
        <v>122</v>
      </c>
      <c r="B142" s="44" t="str">
        <f>IF(BASE_DE_DATOS!D13="","",BASE_DE_DATOS!D13)</f>
        <v/>
      </c>
      <c r="C142" s="40"/>
      <c r="D142" s="41"/>
    </row>
    <row r="145" spans="1:4" ht="18.5" customHeight="1" x14ac:dyDescent="0.35">
      <c r="A145" s="43" t="str">
        <f>"BITÁCORA " &amp; VLOOKUP(D146, BASE_DE_DATOS!$A$2:$B$100, 2, FALSE)</f>
        <v>BITÁCORA JULIO</v>
      </c>
      <c r="B145" s="40"/>
      <c r="C145" s="40"/>
      <c r="D145" s="41"/>
    </row>
    <row r="146" spans="1:4" x14ac:dyDescent="0.35">
      <c r="A146" s="18" t="s">
        <v>107</v>
      </c>
      <c r="B146" s="19" t="s">
        <v>29</v>
      </c>
      <c r="C146" s="18" t="s">
        <v>108</v>
      </c>
      <c r="D146" s="26" t="str">
        <f>IF(BASE_DE_DATOS!A14="","",BASE_DE_DATOS!A14)</f>
        <v>13/07/2026</v>
      </c>
    </row>
    <row r="147" spans="1:4" x14ac:dyDescent="0.35">
      <c r="A147" s="18" t="s">
        <v>109</v>
      </c>
      <c r="B147" s="26" t="str">
        <f>IF(BASE_DE_DATOS!T14="","",BASE_DE_DATOS!T14)</f>
        <v>NISSAN VERSA</v>
      </c>
      <c r="C147" s="18" t="s">
        <v>110</v>
      </c>
      <c r="D147" s="26" t="str">
        <f>IF(BASE_DE_DATOS!U14="","",BASE_DE_DATOS!U14)</f>
        <v>MGX-543-A</v>
      </c>
    </row>
    <row r="148" spans="1:4" x14ac:dyDescent="0.35">
      <c r="A148" s="18" t="s">
        <v>111</v>
      </c>
      <c r="B148" s="26" t="str">
        <f>IF(BASE_DE_DATOS!R14="","",BASE_DE_DATOS!R14)</f>
        <v>VÍCTOR LEONARDO OLMEDO GONZALEZ</v>
      </c>
      <c r="C148" s="18" t="s">
        <v>112</v>
      </c>
      <c r="D148" s="26" t="str">
        <f>IF(BASE_DE_DATOS!V14="","",BASE_DE_DATOS!V14)</f>
        <v>0101P3402484l</v>
      </c>
    </row>
    <row r="149" spans="1:4" x14ac:dyDescent="0.35">
      <c r="A149" s="18" t="s">
        <v>113</v>
      </c>
      <c r="B149" s="26" t="str">
        <f>IF(BASE_DE_DATOS!F14="","",BASE_DE_DATOS!F14)</f>
        <v>09:00</v>
      </c>
      <c r="C149" s="18" t="s">
        <v>114</v>
      </c>
      <c r="D149" s="26" t="str">
        <f>IF(BASE_DE_DATOS!O14="","",BASE_DE_DATOS!O14)</f>
        <v/>
      </c>
    </row>
    <row r="150" spans="1:4" x14ac:dyDescent="0.35">
      <c r="A150" s="18" t="s">
        <v>115</v>
      </c>
      <c r="B150" s="19" t="s">
        <v>116</v>
      </c>
      <c r="C150" s="18" t="s">
        <v>117</v>
      </c>
      <c r="D150" s="26">
        <f>IF(BASE_DE_DATOS!G14="","",BASE_DE_DATOS!G14)</f>
        <v>23849</v>
      </c>
    </row>
    <row r="151" spans="1:4" x14ac:dyDescent="0.35">
      <c r="A151" s="18" t="s">
        <v>118</v>
      </c>
      <c r="B151" s="26" t="str">
        <f>IF(BASE_DE_DATOS!I14="","",BASE_DE_DATOS!I14)</f>
        <v>19:00</v>
      </c>
      <c r="C151" s="18" t="s">
        <v>119</v>
      </c>
      <c r="D151" s="26">
        <f>IF(BASE_DE_DATOS!J14="","",BASE_DE_DATOS!J14)</f>
        <v>23849</v>
      </c>
    </row>
    <row r="152" spans="1:4" x14ac:dyDescent="0.35">
      <c r="A152" s="18" t="s">
        <v>115</v>
      </c>
      <c r="B152" s="19" t="s">
        <v>116</v>
      </c>
      <c r="C152" s="45" t="str">
        <f>IF(BASE_DE_DATOS!N14="","",BASE_DE_DATOS!N14)</f>
        <v/>
      </c>
      <c r="D152" s="41"/>
    </row>
    <row r="153" spans="1:4" x14ac:dyDescent="0.35">
      <c r="A153" s="18" t="s">
        <v>120</v>
      </c>
      <c r="B153" s="26" t="str">
        <f>IF(BASE_DE_DATOS!C14="","",BASE_DE_DATOS!C14)</f>
        <v/>
      </c>
      <c r="C153" s="18" t="s">
        <v>121</v>
      </c>
      <c r="D153" s="19"/>
    </row>
    <row r="154" spans="1:4" x14ac:dyDescent="0.35">
      <c r="A154" s="18" t="s">
        <v>122</v>
      </c>
      <c r="B154" s="44" t="str">
        <f>IF(BASE_DE_DATOS!D14="","",BASE_DE_DATOS!D14)</f>
        <v/>
      </c>
      <c r="C154" s="40"/>
      <c r="D154" s="41"/>
    </row>
    <row r="157" spans="1:4" ht="18.5" customHeight="1" x14ac:dyDescent="0.35">
      <c r="A157" s="43" t="str">
        <f>"BITÁCORA " &amp; VLOOKUP(D158, BASE_DE_DATOS!$A$2:$B$100, 2, FALSE)</f>
        <v>BITÁCORA JULIO</v>
      </c>
      <c r="B157" s="40"/>
      <c r="C157" s="40"/>
      <c r="D157" s="41"/>
    </row>
    <row r="158" spans="1:4" x14ac:dyDescent="0.35">
      <c r="A158" s="18" t="s">
        <v>107</v>
      </c>
      <c r="B158" s="19" t="s">
        <v>29</v>
      </c>
      <c r="C158" s="18" t="s">
        <v>108</v>
      </c>
      <c r="D158" s="26" t="str">
        <f>IF(BASE_DE_DATOS!A15="","",BASE_DE_DATOS!A15)</f>
        <v>14/07/2026</v>
      </c>
    </row>
    <row r="159" spans="1:4" x14ac:dyDescent="0.35">
      <c r="A159" s="18" t="s">
        <v>109</v>
      </c>
      <c r="B159" s="26" t="str">
        <f>IF(BASE_DE_DATOS!T15="","",BASE_DE_DATOS!T15)</f>
        <v>NISSAN VERSA</v>
      </c>
      <c r="C159" s="18" t="s">
        <v>110</v>
      </c>
      <c r="D159" s="26" t="str">
        <f>IF(BASE_DE_DATOS!U15="","",BASE_DE_DATOS!U15)</f>
        <v>MGX-543-A</v>
      </c>
    </row>
    <row r="160" spans="1:4" x14ac:dyDescent="0.35">
      <c r="A160" s="18" t="s">
        <v>111</v>
      </c>
      <c r="B160" s="26" t="str">
        <f>IF(BASE_DE_DATOS!R15="","",BASE_DE_DATOS!R15)</f>
        <v>VÍCTOR LEONARDO OLMEDO GONZALEZ</v>
      </c>
      <c r="C160" s="18" t="s">
        <v>112</v>
      </c>
      <c r="D160" s="26" t="str">
        <f>IF(BASE_DE_DATOS!V15="","",BASE_DE_DATOS!V15)</f>
        <v>0101P3402484l</v>
      </c>
    </row>
    <row r="161" spans="1:4" x14ac:dyDescent="0.35">
      <c r="A161" s="18" t="s">
        <v>113</v>
      </c>
      <c r="B161" s="26" t="str">
        <f>IF(BASE_DE_DATOS!F15="","",BASE_DE_DATOS!F15)</f>
        <v>09:00</v>
      </c>
      <c r="C161" s="18" t="s">
        <v>114</v>
      </c>
      <c r="D161" s="26" t="str">
        <f>IF(BASE_DE_DATOS!O15="","",BASE_DE_DATOS!O15)</f>
        <v/>
      </c>
    </row>
    <row r="162" spans="1:4" x14ac:dyDescent="0.35">
      <c r="A162" s="18" t="s">
        <v>115</v>
      </c>
      <c r="B162" s="19" t="s">
        <v>116</v>
      </c>
      <c r="C162" s="18" t="s">
        <v>117</v>
      </c>
      <c r="D162" s="26">
        <f>IF(BASE_DE_DATOS!G15="","",BASE_DE_DATOS!G15)</f>
        <v>23849</v>
      </c>
    </row>
    <row r="163" spans="1:4" x14ac:dyDescent="0.35">
      <c r="A163" s="18" t="s">
        <v>118</v>
      </c>
      <c r="B163" s="26" t="str">
        <f>IF(BASE_DE_DATOS!I15="","",BASE_DE_DATOS!I15)</f>
        <v>19:00</v>
      </c>
      <c r="C163" s="18" t="s">
        <v>119</v>
      </c>
      <c r="D163" s="26">
        <f>IF(BASE_DE_DATOS!J15="","",BASE_DE_DATOS!J15)</f>
        <v>23849</v>
      </c>
    </row>
    <row r="164" spans="1:4" x14ac:dyDescent="0.35">
      <c r="A164" s="18" t="s">
        <v>115</v>
      </c>
      <c r="B164" s="19" t="s">
        <v>116</v>
      </c>
      <c r="C164" s="45" t="str">
        <f>IF(BASE_DE_DATOS!N15="","",BASE_DE_DATOS!N15)</f>
        <v/>
      </c>
      <c r="D164" s="41"/>
    </row>
    <row r="165" spans="1:4" x14ac:dyDescent="0.35">
      <c r="A165" s="18" t="s">
        <v>120</v>
      </c>
      <c r="B165" s="26" t="str">
        <f>IF(BASE_DE_DATOS!C15="","",BASE_DE_DATOS!C15)</f>
        <v/>
      </c>
      <c r="C165" s="18" t="s">
        <v>121</v>
      </c>
      <c r="D165" s="19"/>
    </row>
    <row r="166" spans="1:4" x14ac:dyDescent="0.35">
      <c r="A166" s="18" t="s">
        <v>122</v>
      </c>
      <c r="B166" s="44" t="str">
        <f>IF(BASE_DE_DATOS!D15="","",BASE_DE_DATOS!D15)</f>
        <v/>
      </c>
      <c r="C166" s="40"/>
      <c r="D166" s="41"/>
    </row>
    <row r="169" spans="1:4" ht="18.5" customHeight="1" x14ac:dyDescent="0.35">
      <c r="A169" s="43" t="str">
        <f>"BITÁCORA " &amp; VLOOKUP(D170, BASE_DE_DATOS!$A$2:$B$100, 2, FALSE)</f>
        <v>BITÁCORA JULIO</v>
      </c>
      <c r="B169" s="40"/>
      <c r="C169" s="40"/>
      <c r="D169" s="41"/>
    </row>
    <row r="170" spans="1:4" x14ac:dyDescent="0.35">
      <c r="A170" s="18" t="s">
        <v>107</v>
      </c>
      <c r="B170" s="19" t="s">
        <v>29</v>
      </c>
      <c r="C170" s="18" t="s">
        <v>108</v>
      </c>
      <c r="D170" s="26" t="str">
        <f>IF(BASE_DE_DATOS!A16="","",BASE_DE_DATOS!A16)</f>
        <v>15/07/2026</v>
      </c>
    </row>
    <row r="171" spans="1:4" x14ac:dyDescent="0.35">
      <c r="A171" s="18" t="s">
        <v>109</v>
      </c>
      <c r="B171" s="26" t="str">
        <f>IF(BASE_DE_DATOS!T16="","",BASE_DE_DATOS!T16)</f>
        <v>NISSAN VERSA</v>
      </c>
      <c r="C171" s="18" t="s">
        <v>110</v>
      </c>
      <c r="D171" s="26" t="str">
        <f>IF(BASE_DE_DATOS!U16="","",BASE_DE_DATOS!U16)</f>
        <v>MGX-543-A</v>
      </c>
    </row>
    <row r="172" spans="1:4" x14ac:dyDescent="0.35">
      <c r="A172" s="18" t="s">
        <v>111</v>
      </c>
      <c r="B172" s="26" t="str">
        <f>IF(BASE_DE_DATOS!R16="","",BASE_DE_DATOS!R16)</f>
        <v>VÍCTOR LEONARDO OLMEDO GONZALEZ</v>
      </c>
      <c r="C172" s="18" t="s">
        <v>112</v>
      </c>
      <c r="D172" s="26" t="str">
        <f>IF(BASE_DE_DATOS!V16="","",BASE_DE_DATOS!V16)</f>
        <v>0101P3402484l</v>
      </c>
    </row>
    <row r="173" spans="1:4" x14ac:dyDescent="0.35">
      <c r="A173" s="18" t="s">
        <v>113</v>
      </c>
      <c r="B173" s="26" t="str">
        <f>IF(BASE_DE_DATOS!F16="","",BASE_DE_DATOS!F16)</f>
        <v>09:00</v>
      </c>
      <c r="C173" s="18" t="s">
        <v>114</v>
      </c>
      <c r="D173" s="26" t="str">
        <f>IF(BASE_DE_DATOS!O16="","",BASE_DE_DATOS!O16)</f>
        <v/>
      </c>
    </row>
    <row r="174" spans="1:4" x14ac:dyDescent="0.35">
      <c r="A174" s="18" t="s">
        <v>115</v>
      </c>
      <c r="B174" s="19" t="s">
        <v>116</v>
      </c>
      <c r="C174" s="18" t="s">
        <v>117</v>
      </c>
      <c r="D174" s="26">
        <f>IF(BASE_DE_DATOS!G16="","",BASE_DE_DATOS!G16)</f>
        <v>23849</v>
      </c>
    </row>
    <row r="175" spans="1:4" x14ac:dyDescent="0.35">
      <c r="A175" s="18" t="s">
        <v>118</v>
      </c>
      <c r="B175" s="26" t="str">
        <f>IF(BASE_DE_DATOS!I16="","",BASE_DE_DATOS!I16)</f>
        <v>19:00</v>
      </c>
      <c r="C175" s="18" t="s">
        <v>119</v>
      </c>
      <c r="D175" s="26">
        <f>IF(BASE_DE_DATOS!J16="","",BASE_DE_DATOS!J16)</f>
        <v>23849</v>
      </c>
    </row>
    <row r="176" spans="1:4" x14ac:dyDescent="0.35">
      <c r="A176" s="18" t="s">
        <v>115</v>
      </c>
      <c r="B176" s="19" t="s">
        <v>116</v>
      </c>
      <c r="C176" s="45" t="str">
        <f>IF(BASE_DE_DATOS!N16="","",BASE_DE_DATOS!N16)</f>
        <v/>
      </c>
      <c r="D176" s="41"/>
    </row>
    <row r="177" spans="1:4" x14ac:dyDescent="0.35">
      <c r="A177" s="18" t="s">
        <v>120</v>
      </c>
      <c r="B177" s="26" t="str">
        <f>IF(BASE_DE_DATOS!C16="","",BASE_DE_DATOS!C16)</f>
        <v/>
      </c>
      <c r="C177" s="18" t="s">
        <v>121</v>
      </c>
      <c r="D177" s="19"/>
    </row>
    <row r="178" spans="1:4" x14ac:dyDescent="0.35">
      <c r="A178" s="18" t="s">
        <v>122</v>
      </c>
      <c r="B178" s="44" t="str">
        <f>IF(BASE_DE_DATOS!D16="","",BASE_DE_DATOS!D16)</f>
        <v/>
      </c>
      <c r="C178" s="40"/>
      <c r="D178" s="41"/>
    </row>
    <row r="181" spans="1:4" ht="18.5" customHeight="1" x14ac:dyDescent="0.35">
      <c r="A181" s="43" t="str">
        <f>"BITÁCORA " &amp; VLOOKUP(D182, BASE_DE_DATOS!$A$2:$B$100, 2, FALSE)</f>
        <v>BITÁCORA JULIO</v>
      </c>
      <c r="B181" s="40"/>
      <c r="C181" s="40"/>
      <c r="D181" s="41"/>
    </row>
    <row r="182" spans="1:4" x14ac:dyDescent="0.35">
      <c r="A182" s="18" t="s">
        <v>107</v>
      </c>
      <c r="B182" s="19" t="s">
        <v>29</v>
      </c>
      <c r="C182" s="18" t="s">
        <v>108</v>
      </c>
      <c r="D182" s="26" t="str">
        <f>IF(BASE_DE_DATOS!A17="","",BASE_DE_DATOS!A17)</f>
        <v>16/07/2026</v>
      </c>
    </row>
    <row r="183" spans="1:4" x14ac:dyDescent="0.35">
      <c r="A183" s="18" t="s">
        <v>109</v>
      </c>
      <c r="B183" s="26" t="str">
        <f>IF(BASE_DE_DATOS!T17="","",BASE_DE_DATOS!T17)</f>
        <v>NISSAN VERSA</v>
      </c>
      <c r="C183" s="18" t="s">
        <v>110</v>
      </c>
      <c r="D183" s="26" t="str">
        <f>IF(BASE_DE_DATOS!U17="","",BASE_DE_DATOS!U17)</f>
        <v>MGX-543-A</v>
      </c>
    </row>
    <row r="184" spans="1:4" x14ac:dyDescent="0.35">
      <c r="A184" s="18" t="s">
        <v>111</v>
      </c>
      <c r="B184" s="26" t="str">
        <f>IF(BASE_DE_DATOS!R17="","",BASE_DE_DATOS!R17)</f>
        <v>VÍCTOR LEONARDO OLMEDO GONZALEZ</v>
      </c>
      <c r="C184" s="18" t="s">
        <v>112</v>
      </c>
      <c r="D184" s="26" t="str">
        <f>IF(BASE_DE_DATOS!V17="","",BASE_DE_DATOS!V17)</f>
        <v>0101P3402484l</v>
      </c>
    </row>
    <row r="185" spans="1:4" x14ac:dyDescent="0.35">
      <c r="A185" s="18" t="s">
        <v>113</v>
      </c>
      <c r="B185" s="26" t="str">
        <f>IF(BASE_DE_DATOS!F17="","",BASE_DE_DATOS!F17)</f>
        <v>09:00</v>
      </c>
      <c r="C185" s="18" t="s">
        <v>114</v>
      </c>
      <c r="D185" s="26" t="str">
        <f>IF(BASE_DE_DATOS!O17="","",BASE_DE_DATOS!O17)</f>
        <v/>
      </c>
    </row>
    <row r="186" spans="1:4" x14ac:dyDescent="0.35">
      <c r="A186" s="18" t="s">
        <v>115</v>
      </c>
      <c r="B186" s="19" t="s">
        <v>116</v>
      </c>
      <c r="C186" s="18" t="s">
        <v>117</v>
      </c>
      <c r="D186" s="26">
        <f>IF(BASE_DE_DATOS!G17="","",BASE_DE_DATOS!G17)</f>
        <v>23849</v>
      </c>
    </row>
    <row r="187" spans="1:4" x14ac:dyDescent="0.35">
      <c r="A187" s="18" t="s">
        <v>118</v>
      </c>
      <c r="B187" s="26" t="str">
        <f>IF(BASE_DE_DATOS!I17="","",BASE_DE_DATOS!I17)</f>
        <v>19:00</v>
      </c>
      <c r="C187" s="18" t="s">
        <v>119</v>
      </c>
      <c r="D187" s="26">
        <f>IF(BASE_DE_DATOS!J17="","",BASE_DE_DATOS!J17)</f>
        <v>23849</v>
      </c>
    </row>
    <row r="188" spans="1:4" x14ac:dyDescent="0.35">
      <c r="A188" s="18" t="s">
        <v>115</v>
      </c>
      <c r="B188" s="19" t="s">
        <v>116</v>
      </c>
      <c r="C188" s="45" t="str">
        <f>IF(BASE_DE_DATOS!N17="","",BASE_DE_DATOS!N17)</f>
        <v/>
      </c>
      <c r="D188" s="41"/>
    </row>
    <row r="189" spans="1:4" x14ac:dyDescent="0.35">
      <c r="A189" s="18" t="s">
        <v>120</v>
      </c>
      <c r="B189" s="26" t="str">
        <f>IF(BASE_DE_DATOS!C17="","",BASE_DE_DATOS!C17)</f>
        <v/>
      </c>
      <c r="C189" s="18" t="s">
        <v>121</v>
      </c>
      <c r="D189" s="19"/>
    </row>
    <row r="190" spans="1:4" x14ac:dyDescent="0.35">
      <c r="A190" s="18" t="s">
        <v>122</v>
      </c>
      <c r="B190" s="44" t="str">
        <f>IF(BASE_DE_DATOS!D17="","",BASE_DE_DATOS!D17)</f>
        <v/>
      </c>
      <c r="C190" s="40"/>
      <c r="D190" s="41"/>
    </row>
    <row r="193" spans="1:4" ht="18.5" customHeight="1" x14ac:dyDescent="0.35">
      <c r="A193" s="43" t="str">
        <f>"BITÁCORA " &amp; VLOOKUP(D194, BASE_DE_DATOS!$A$2:$B$100, 2, FALSE)</f>
        <v>BITÁCORA JULIO</v>
      </c>
      <c r="B193" s="40"/>
      <c r="C193" s="40"/>
      <c r="D193" s="41"/>
    </row>
    <row r="194" spans="1:4" x14ac:dyDescent="0.35">
      <c r="A194" s="18" t="s">
        <v>107</v>
      </c>
      <c r="B194" s="19" t="s">
        <v>29</v>
      </c>
      <c r="C194" s="18" t="s">
        <v>108</v>
      </c>
      <c r="D194" s="26" t="str">
        <f>IF(BASE_DE_DATOS!A18="","",BASE_DE_DATOS!A18)</f>
        <v>17/07/2026</v>
      </c>
    </row>
    <row r="195" spans="1:4" x14ac:dyDescent="0.35">
      <c r="A195" s="18" t="s">
        <v>109</v>
      </c>
      <c r="B195" s="26" t="str">
        <f>IF(BASE_DE_DATOS!T18="","",BASE_DE_DATOS!T18)</f>
        <v>NISSAN VERSA</v>
      </c>
      <c r="C195" s="18" t="s">
        <v>110</v>
      </c>
      <c r="D195" s="26" t="str">
        <f>IF(BASE_DE_DATOS!U18="","",BASE_DE_DATOS!U18)</f>
        <v>MGX-543-A</v>
      </c>
    </row>
    <row r="196" spans="1:4" x14ac:dyDescent="0.35">
      <c r="A196" s="18" t="s">
        <v>111</v>
      </c>
      <c r="B196" s="26" t="str">
        <f>IF(BASE_DE_DATOS!R18="","",BASE_DE_DATOS!R18)</f>
        <v>VÍCTOR LEONARDO OLMEDO GONZALEZ</v>
      </c>
      <c r="C196" s="18" t="s">
        <v>112</v>
      </c>
      <c r="D196" s="26" t="str">
        <f>IF(BASE_DE_DATOS!V18="","",BASE_DE_DATOS!V18)</f>
        <v>0101P3402484l</v>
      </c>
    </row>
    <row r="197" spans="1:4" x14ac:dyDescent="0.35">
      <c r="A197" s="18" t="s">
        <v>113</v>
      </c>
      <c r="B197" s="26" t="str">
        <f>IF(BASE_DE_DATOS!F18="","",BASE_DE_DATOS!F18)</f>
        <v>09:00</v>
      </c>
      <c r="C197" s="18" t="s">
        <v>114</v>
      </c>
      <c r="D197" s="26" t="str">
        <f>IF(BASE_DE_DATOS!O18="","",BASE_DE_DATOS!O18)</f>
        <v/>
      </c>
    </row>
    <row r="198" spans="1:4" x14ac:dyDescent="0.35">
      <c r="A198" s="18" t="s">
        <v>115</v>
      </c>
      <c r="B198" s="19" t="s">
        <v>116</v>
      </c>
      <c r="C198" s="18" t="s">
        <v>117</v>
      </c>
      <c r="D198" s="26">
        <f>IF(BASE_DE_DATOS!G18="","",BASE_DE_DATOS!G18)</f>
        <v>23849</v>
      </c>
    </row>
    <row r="199" spans="1:4" x14ac:dyDescent="0.35">
      <c r="A199" s="18" t="s">
        <v>118</v>
      </c>
      <c r="B199" s="26" t="str">
        <f>IF(BASE_DE_DATOS!I18="","",BASE_DE_DATOS!I18)</f>
        <v>19:00</v>
      </c>
      <c r="C199" s="18" t="s">
        <v>119</v>
      </c>
      <c r="D199" s="26">
        <f>IF(BASE_DE_DATOS!J18="","",BASE_DE_DATOS!J18)</f>
        <v>23849</v>
      </c>
    </row>
    <row r="200" spans="1:4" x14ac:dyDescent="0.35">
      <c r="A200" s="18" t="s">
        <v>115</v>
      </c>
      <c r="B200" s="19" t="s">
        <v>116</v>
      </c>
      <c r="C200" s="45" t="str">
        <f>IF(BASE_DE_DATOS!N18="","",BASE_DE_DATOS!N18)</f>
        <v/>
      </c>
      <c r="D200" s="41"/>
    </row>
    <row r="201" spans="1:4" x14ac:dyDescent="0.35">
      <c r="A201" s="18" t="s">
        <v>120</v>
      </c>
      <c r="B201" s="26" t="str">
        <f>IF(BASE_DE_DATOS!C18="","",BASE_DE_DATOS!C18)</f>
        <v/>
      </c>
      <c r="C201" s="18" t="s">
        <v>121</v>
      </c>
      <c r="D201" s="19"/>
    </row>
    <row r="202" spans="1:4" x14ac:dyDescent="0.35">
      <c r="A202" s="18" t="s">
        <v>122</v>
      </c>
      <c r="B202" s="44" t="str">
        <f>IF(BASE_DE_DATOS!D18="","",BASE_DE_DATOS!D18)</f>
        <v/>
      </c>
      <c r="C202" s="40"/>
      <c r="D202" s="41"/>
    </row>
    <row r="205" spans="1:4" ht="18.5" customHeight="1" x14ac:dyDescent="0.35">
      <c r="A205" s="43" t="str">
        <f>"BITÁCORA " &amp; VLOOKUP(D206, BASE_DE_DATOS!$A$2:$B$100, 2, FALSE)</f>
        <v>BITÁCORA JULIO</v>
      </c>
      <c r="B205" s="40"/>
      <c r="C205" s="40"/>
      <c r="D205" s="41"/>
    </row>
    <row r="206" spans="1:4" x14ac:dyDescent="0.35">
      <c r="A206" s="18" t="s">
        <v>107</v>
      </c>
      <c r="B206" s="19" t="s">
        <v>29</v>
      </c>
      <c r="C206" s="18" t="s">
        <v>108</v>
      </c>
      <c r="D206" s="26" t="str">
        <f>IF(BASE_DE_DATOS!A19="","",BASE_DE_DATOS!A19)</f>
        <v>18/07/2026</v>
      </c>
    </row>
    <row r="207" spans="1:4" x14ac:dyDescent="0.35">
      <c r="A207" s="18" t="s">
        <v>109</v>
      </c>
      <c r="B207" s="26" t="str">
        <f>IF(BASE_DE_DATOS!T19="","",BASE_DE_DATOS!T19)</f>
        <v>NISSAN VERSA</v>
      </c>
      <c r="C207" s="18" t="s">
        <v>110</v>
      </c>
      <c r="D207" s="26" t="str">
        <f>IF(BASE_DE_DATOS!U19="","",BASE_DE_DATOS!U19)</f>
        <v>MGX-543-A</v>
      </c>
    </row>
    <row r="208" spans="1:4" x14ac:dyDescent="0.35">
      <c r="A208" s="18" t="s">
        <v>111</v>
      </c>
      <c r="B208" s="26" t="str">
        <f>IF(BASE_DE_DATOS!R19="","",BASE_DE_DATOS!R19)</f>
        <v>VÍCTOR LEONARDO OLMEDO GONZALEZ</v>
      </c>
      <c r="C208" s="18" t="s">
        <v>112</v>
      </c>
      <c r="D208" s="26" t="str">
        <f>IF(BASE_DE_DATOS!V19="","",BASE_DE_DATOS!V19)</f>
        <v>0101P3402484l</v>
      </c>
    </row>
    <row r="209" spans="1:4" x14ac:dyDescent="0.35">
      <c r="A209" s="18" t="s">
        <v>113</v>
      </c>
      <c r="B209" s="26" t="str">
        <f>IF(BASE_DE_DATOS!F19="","",BASE_DE_DATOS!F19)</f>
        <v>09:00</v>
      </c>
      <c r="C209" s="18" t="s">
        <v>114</v>
      </c>
      <c r="D209" s="26" t="str">
        <f>IF(BASE_DE_DATOS!O19="","",BASE_DE_DATOS!O19)</f>
        <v/>
      </c>
    </row>
    <row r="210" spans="1:4" x14ac:dyDescent="0.35">
      <c r="A210" s="18" t="s">
        <v>115</v>
      </c>
      <c r="B210" s="19" t="s">
        <v>116</v>
      </c>
      <c r="C210" s="18" t="s">
        <v>117</v>
      </c>
      <c r="D210" s="26">
        <f>IF(BASE_DE_DATOS!G19="","",BASE_DE_DATOS!G19)</f>
        <v>23849</v>
      </c>
    </row>
    <row r="211" spans="1:4" x14ac:dyDescent="0.35">
      <c r="A211" s="18" t="s">
        <v>118</v>
      </c>
      <c r="B211" s="26" t="str">
        <f>IF(BASE_DE_DATOS!I19="","",BASE_DE_DATOS!I19)</f>
        <v>19:00</v>
      </c>
      <c r="C211" s="18" t="s">
        <v>119</v>
      </c>
      <c r="D211" s="26">
        <f>IF(BASE_DE_DATOS!J19="","",BASE_DE_DATOS!J19)</f>
        <v>23849</v>
      </c>
    </row>
    <row r="212" spans="1:4" x14ac:dyDescent="0.35">
      <c r="A212" s="18" t="s">
        <v>115</v>
      </c>
      <c r="B212" s="19" t="s">
        <v>116</v>
      </c>
      <c r="C212" s="45" t="str">
        <f>IF(BASE_DE_DATOS!N19="","",BASE_DE_DATOS!N19)</f>
        <v/>
      </c>
      <c r="D212" s="41"/>
    </row>
    <row r="213" spans="1:4" x14ac:dyDescent="0.35">
      <c r="A213" s="18" t="s">
        <v>120</v>
      </c>
      <c r="B213" s="26" t="str">
        <f>IF(BASE_DE_DATOS!C19="","",BASE_DE_DATOS!C19)</f>
        <v/>
      </c>
      <c r="C213" s="18" t="s">
        <v>121</v>
      </c>
      <c r="D213" s="19"/>
    </row>
    <row r="214" spans="1:4" x14ac:dyDescent="0.35">
      <c r="A214" s="18" t="s">
        <v>122</v>
      </c>
      <c r="B214" s="44" t="str">
        <f>IF(BASE_DE_DATOS!D19="","",BASE_DE_DATOS!D19)</f>
        <v/>
      </c>
      <c r="C214" s="40"/>
      <c r="D214" s="41"/>
    </row>
    <row r="217" spans="1:4" ht="18.5" customHeight="1" x14ac:dyDescent="0.35">
      <c r="A217" s="43" t="str">
        <f>"BITÁCORA " &amp; VLOOKUP(D218, BASE_DE_DATOS!$A$2:$B$100, 2, FALSE)</f>
        <v>BITÁCORA JULIO</v>
      </c>
      <c r="B217" s="40"/>
      <c r="C217" s="40"/>
      <c r="D217" s="41"/>
    </row>
    <row r="218" spans="1:4" x14ac:dyDescent="0.35">
      <c r="A218" s="18" t="s">
        <v>107</v>
      </c>
      <c r="B218" s="19" t="s">
        <v>29</v>
      </c>
      <c r="C218" s="18" t="s">
        <v>108</v>
      </c>
      <c r="D218" s="26" t="str">
        <f>IF(BASE_DE_DATOS!A20="","",BASE_DE_DATOS!A20)</f>
        <v>19/07/2026</v>
      </c>
    </row>
    <row r="219" spans="1:4" x14ac:dyDescent="0.35">
      <c r="A219" s="18" t="s">
        <v>109</v>
      </c>
      <c r="B219" s="26" t="str">
        <f>IF(BASE_DE_DATOS!T20="","",BASE_DE_DATOS!T20)</f>
        <v>NISSAN VERSA</v>
      </c>
      <c r="C219" s="18" t="s">
        <v>110</v>
      </c>
      <c r="D219" s="26" t="str">
        <f>IF(BASE_DE_DATOS!U20="","",BASE_DE_DATOS!U20)</f>
        <v>MGX-543-A</v>
      </c>
    </row>
    <row r="220" spans="1:4" x14ac:dyDescent="0.35">
      <c r="A220" s="18" t="s">
        <v>111</v>
      </c>
      <c r="B220" s="26" t="str">
        <f>IF(BASE_DE_DATOS!R20="","",BASE_DE_DATOS!R20)</f>
        <v>VÍCTOR LEONARDO OLMEDO GONZALEZ</v>
      </c>
      <c r="C220" s="18" t="s">
        <v>112</v>
      </c>
      <c r="D220" s="26" t="str">
        <f>IF(BASE_DE_DATOS!V20="","",BASE_DE_DATOS!V20)</f>
        <v>0101P3402484l</v>
      </c>
    </row>
    <row r="221" spans="1:4" x14ac:dyDescent="0.35">
      <c r="A221" s="18" t="s">
        <v>113</v>
      </c>
      <c r="B221" s="26" t="str">
        <f>IF(BASE_DE_DATOS!F20="","",BASE_DE_DATOS!F20)</f>
        <v>09:00</v>
      </c>
      <c r="C221" s="18" t="s">
        <v>114</v>
      </c>
      <c r="D221" s="26" t="str">
        <f>IF(BASE_DE_DATOS!O20="","",BASE_DE_DATOS!O20)</f>
        <v/>
      </c>
    </row>
    <row r="222" spans="1:4" x14ac:dyDescent="0.35">
      <c r="A222" s="18" t="s">
        <v>115</v>
      </c>
      <c r="B222" s="19" t="s">
        <v>116</v>
      </c>
      <c r="C222" s="18" t="s">
        <v>117</v>
      </c>
      <c r="D222" s="26">
        <f>IF(BASE_DE_DATOS!G20="","",BASE_DE_DATOS!G20)</f>
        <v>23849</v>
      </c>
    </row>
    <row r="223" spans="1:4" x14ac:dyDescent="0.35">
      <c r="A223" s="18" t="s">
        <v>118</v>
      </c>
      <c r="B223" s="26" t="str">
        <f>IF(BASE_DE_DATOS!I20="","",BASE_DE_DATOS!I20)</f>
        <v>19:00</v>
      </c>
      <c r="C223" s="18" t="s">
        <v>119</v>
      </c>
      <c r="D223" s="26">
        <f>IF(BASE_DE_DATOS!J20="","",BASE_DE_DATOS!J20)</f>
        <v>23849</v>
      </c>
    </row>
    <row r="224" spans="1:4" x14ac:dyDescent="0.35">
      <c r="A224" s="18" t="s">
        <v>115</v>
      </c>
      <c r="B224" s="19" t="s">
        <v>116</v>
      </c>
      <c r="C224" s="45" t="str">
        <f>IF(BASE_DE_DATOS!N20="","",BASE_DE_DATOS!N20)</f>
        <v/>
      </c>
      <c r="D224" s="41"/>
    </row>
    <row r="225" spans="1:4" x14ac:dyDescent="0.35">
      <c r="A225" s="18" t="s">
        <v>120</v>
      </c>
      <c r="B225" s="26" t="str">
        <f>IF(BASE_DE_DATOS!C20="","",BASE_DE_DATOS!C20)</f>
        <v/>
      </c>
      <c r="C225" s="18" t="s">
        <v>121</v>
      </c>
      <c r="D225" s="19"/>
    </row>
    <row r="226" spans="1:4" x14ac:dyDescent="0.35">
      <c r="A226" s="18" t="s">
        <v>122</v>
      </c>
      <c r="B226" s="44" t="str">
        <f>IF(BASE_DE_DATOS!D20="","",BASE_DE_DATOS!D20)</f>
        <v/>
      </c>
      <c r="C226" s="40"/>
      <c r="D226" s="41"/>
    </row>
    <row r="229" spans="1:4" ht="18.5" customHeight="1" x14ac:dyDescent="0.35">
      <c r="A229" s="43" t="str">
        <f>"BITÁCORA " &amp; VLOOKUP(D230, BASE_DE_DATOS!$A$2:$B$100, 2, FALSE)</f>
        <v>BITÁCORA JULIO</v>
      </c>
      <c r="B229" s="40"/>
      <c r="C229" s="40"/>
      <c r="D229" s="41"/>
    </row>
    <row r="230" spans="1:4" x14ac:dyDescent="0.35">
      <c r="A230" s="18" t="s">
        <v>107</v>
      </c>
      <c r="B230" s="19" t="s">
        <v>29</v>
      </c>
      <c r="C230" s="18" t="s">
        <v>108</v>
      </c>
      <c r="D230" s="26" t="str">
        <f>IF(BASE_DE_DATOS!A21="","",BASE_DE_DATOS!A21)</f>
        <v>20/07/2026</v>
      </c>
    </row>
    <row r="231" spans="1:4" x14ac:dyDescent="0.35">
      <c r="A231" s="18" t="s">
        <v>109</v>
      </c>
      <c r="B231" s="26" t="str">
        <f>IF(BASE_DE_DATOS!T21="","",BASE_DE_DATOS!T21)</f>
        <v>NISSAN VERSA</v>
      </c>
      <c r="C231" s="18" t="s">
        <v>110</v>
      </c>
      <c r="D231" s="26" t="str">
        <f>IF(BASE_DE_DATOS!U21="","",BASE_DE_DATOS!U21)</f>
        <v>MGX-543-A</v>
      </c>
    </row>
    <row r="232" spans="1:4" x14ac:dyDescent="0.35">
      <c r="A232" s="18" t="s">
        <v>111</v>
      </c>
      <c r="B232" s="26" t="str">
        <f>IF(BASE_DE_DATOS!R21="","",BASE_DE_DATOS!R21)</f>
        <v>VÍCTOR LEONARDO OLMEDO GONZALEZ</v>
      </c>
      <c r="C232" s="18" t="s">
        <v>112</v>
      </c>
      <c r="D232" s="26" t="str">
        <f>IF(BASE_DE_DATOS!V21="","",BASE_DE_DATOS!V21)</f>
        <v>0101P3402484l</v>
      </c>
    </row>
    <row r="233" spans="1:4" x14ac:dyDescent="0.35">
      <c r="A233" s="18" t="s">
        <v>113</v>
      </c>
      <c r="B233" s="26" t="str">
        <f>IF(BASE_DE_DATOS!F21="","",BASE_DE_DATOS!F21)</f>
        <v>09:00</v>
      </c>
      <c r="C233" s="18" t="s">
        <v>114</v>
      </c>
      <c r="D233" s="26" t="str">
        <f>IF(BASE_DE_DATOS!O21="","",BASE_DE_DATOS!O21)</f>
        <v/>
      </c>
    </row>
    <row r="234" spans="1:4" x14ac:dyDescent="0.35">
      <c r="A234" s="18" t="s">
        <v>115</v>
      </c>
      <c r="B234" s="19" t="s">
        <v>116</v>
      </c>
      <c r="C234" s="18" t="s">
        <v>117</v>
      </c>
      <c r="D234" s="26">
        <f>IF(BASE_DE_DATOS!G21="","",BASE_DE_DATOS!G21)</f>
        <v>23849</v>
      </c>
    </row>
    <row r="235" spans="1:4" x14ac:dyDescent="0.35">
      <c r="A235" s="18" t="s">
        <v>118</v>
      </c>
      <c r="B235" s="26" t="str">
        <f>IF(BASE_DE_DATOS!I21="","",BASE_DE_DATOS!I21)</f>
        <v>19:00</v>
      </c>
      <c r="C235" s="18" t="s">
        <v>119</v>
      </c>
      <c r="D235" s="26">
        <f>IF(BASE_DE_DATOS!J21="","",BASE_DE_DATOS!J21)</f>
        <v>23849</v>
      </c>
    </row>
    <row r="236" spans="1:4" x14ac:dyDescent="0.35">
      <c r="A236" s="18" t="s">
        <v>115</v>
      </c>
      <c r="B236" s="19" t="s">
        <v>116</v>
      </c>
      <c r="C236" s="45" t="str">
        <f>IF(BASE_DE_DATOS!N21="","",BASE_DE_DATOS!N21)</f>
        <v/>
      </c>
      <c r="D236" s="41"/>
    </row>
    <row r="237" spans="1:4" x14ac:dyDescent="0.35">
      <c r="A237" s="18" t="s">
        <v>120</v>
      </c>
      <c r="B237" s="26" t="str">
        <f>IF(BASE_DE_DATOS!C21="","",BASE_DE_DATOS!C21)</f>
        <v/>
      </c>
      <c r="C237" s="18" t="s">
        <v>121</v>
      </c>
      <c r="D237" s="19"/>
    </row>
    <row r="238" spans="1:4" x14ac:dyDescent="0.35">
      <c r="A238" s="18" t="s">
        <v>122</v>
      </c>
      <c r="B238" s="44" t="str">
        <f>IF(BASE_DE_DATOS!D21="","",BASE_DE_DATOS!D21)</f>
        <v/>
      </c>
      <c r="C238" s="40"/>
      <c r="D238" s="41"/>
    </row>
    <row r="241" spans="1:4" ht="18.5" customHeight="1" x14ac:dyDescent="0.35">
      <c r="A241" s="43" t="str">
        <f>"BITÁCORA " &amp; VLOOKUP(D242, BASE_DE_DATOS!$A$2:$B$100, 2, FALSE)</f>
        <v>BITÁCORA JULIO</v>
      </c>
      <c r="B241" s="40"/>
      <c r="C241" s="40"/>
      <c r="D241" s="41"/>
    </row>
    <row r="242" spans="1:4" x14ac:dyDescent="0.35">
      <c r="A242" s="18" t="s">
        <v>107</v>
      </c>
      <c r="B242" s="19" t="s">
        <v>29</v>
      </c>
      <c r="C242" s="18" t="s">
        <v>108</v>
      </c>
      <c r="D242" s="26" t="str">
        <f>IF(BASE_DE_DATOS!A22="","",BASE_DE_DATOS!A22)</f>
        <v>21/07/2026</v>
      </c>
    </row>
    <row r="243" spans="1:4" x14ac:dyDescent="0.35">
      <c r="A243" s="18" t="s">
        <v>109</v>
      </c>
      <c r="B243" s="26" t="str">
        <f>IF(BASE_DE_DATOS!T22="","",BASE_DE_DATOS!T22)</f>
        <v>NISSAN VERSA</v>
      </c>
      <c r="C243" s="18" t="s">
        <v>110</v>
      </c>
      <c r="D243" s="26" t="str">
        <f>IF(BASE_DE_DATOS!U22="","",BASE_DE_DATOS!U22)</f>
        <v>MGX-543-A</v>
      </c>
    </row>
    <row r="244" spans="1:4" x14ac:dyDescent="0.35">
      <c r="A244" s="18" t="s">
        <v>111</v>
      </c>
      <c r="B244" s="26" t="str">
        <f>IF(BASE_DE_DATOS!R22="","",BASE_DE_DATOS!R22)</f>
        <v>VÍCTOR LEONARDO OLMEDO GONZALEZ</v>
      </c>
      <c r="C244" s="18" t="s">
        <v>112</v>
      </c>
      <c r="D244" s="26" t="str">
        <f>IF(BASE_DE_DATOS!V22="","",BASE_DE_DATOS!V22)</f>
        <v>0101P3402484l</v>
      </c>
    </row>
    <row r="245" spans="1:4" x14ac:dyDescent="0.35">
      <c r="A245" s="18" t="s">
        <v>113</v>
      </c>
      <c r="B245" s="26" t="str">
        <f>IF(BASE_DE_DATOS!F22="","",BASE_DE_DATOS!F22)</f>
        <v>09:00</v>
      </c>
      <c r="C245" s="18" t="s">
        <v>114</v>
      </c>
      <c r="D245" s="26" t="str">
        <f>IF(BASE_DE_DATOS!O22="","",BASE_DE_DATOS!O22)</f>
        <v/>
      </c>
    </row>
    <row r="246" spans="1:4" x14ac:dyDescent="0.35">
      <c r="A246" s="18" t="s">
        <v>115</v>
      </c>
      <c r="B246" s="19" t="s">
        <v>116</v>
      </c>
      <c r="C246" s="18" t="s">
        <v>117</v>
      </c>
      <c r="D246" s="26">
        <f>IF(BASE_DE_DATOS!G22="","",BASE_DE_DATOS!G22)</f>
        <v>23849</v>
      </c>
    </row>
    <row r="247" spans="1:4" x14ac:dyDescent="0.35">
      <c r="A247" s="18" t="s">
        <v>118</v>
      </c>
      <c r="B247" s="26" t="str">
        <f>IF(BASE_DE_DATOS!I22="","",BASE_DE_DATOS!I22)</f>
        <v>19:00</v>
      </c>
      <c r="C247" s="18" t="s">
        <v>119</v>
      </c>
      <c r="D247" s="26">
        <f>IF(BASE_DE_DATOS!J22="","",BASE_DE_DATOS!J22)</f>
        <v>23849</v>
      </c>
    </row>
    <row r="248" spans="1:4" x14ac:dyDescent="0.35">
      <c r="A248" s="18" t="s">
        <v>115</v>
      </c>
      <c r="B248" s="19" t="s">
        <v>116</v>
      </c>
      <c r="C248" s="45" t="str">
        <f>IF(BASE_DE_DATOS!N22="","",BASE_DE_DATOS!N22)</f>
        <v/>
      </c>
      <c r="D248" s="41"/>
    </row>
    <row r="249" spans="1:4" x14ac:dyDescent="0.35">
      <c r="A249" s="18" t="s">
        <v>120</v>
      </c>
      <c r="B249" s="26" t="str">
        <f>IF(BASE_DE_DATOS!C22="","",BASE_DE_DATOS!C22)</f>
        <v/>
      </c>
      <c r="C249" s="18" t="s">
        <v>121</v>
      </c>
      <c r="D249" s="19"/>
    </row>
    <row r="250" spans="1:4" x14ac:dyDescent="0.35">
      <c r="A250" s="18" t="s">
        <v>122</v>
      </c>
      <c r="B250" s="44" t="str">
        <f>IF(BASE_DE_DATOS!D22="","",BASE_DE_DATOS!D22)</f>
        <v/>
      </c>
      <c r="C250" s="40"/>
      <c r="D250" s="41"/>
    </row>
    <row r="253" spans="1:4" ht="18.5" customHeight="1" x14ac:dyDescent="0.35">
      <c r="A253" s="43" t="str">
        <f>"BITÁCORA " &amp; VLOOKUP(D254, BASE_DE_DATOS!$A$2:$B$100, 2, FALSE)</f>
        <v>BITÁCORA JULIO</v>
      </c>
      <c r="B253" s="40"/>
      <c r="C253" s="40"/>
      <c r="D253" s="41"/>
    </row>
    <row r="254" spans="1:4" x14ac:dyDescent="0.35">
      <c r="A254" s="18" t="s">
        <v>107</v>
      </c>
      <c r="B254" s="19" t="s">
        <v>29</v>
      </c>
      <c r="C254" s="18" t="s">
        <v>108</v>
      </c>
      <c r="D254" s="26" t="str">
        <f>IF(BASE_DE_DATOS!A23="","",BASE_DE_DATOS!A23)</f>
        <v>22/07/2026</v>
      </c>
    </row>
    <row r="255" spans="1:4" x14ac:dyDescent="0.35">
      <c r="A255" s="18" t="s">
        <v>109</v>
      </c>
      <c r="B255" s="26" t="str">
        <f>IF(BASE_DE_DATOS!T23="","",BASE_DE_DATOS!T23)</f>
        <v>NISSAN VERSA</v>
      </c>
      <c r="C255" s="18" t="s">
        <v>110</v>
      </c>
      <c r="D255" s="26" t="str">
        <f>IF(BASE_DE_DATOS!U23="","",BASE_DE_DATOS!U23)</f>
        <v>MGX-543-A</v>
      </c>
    </row>
    <row r="256" spans="1:4" x14ac:dyDescent="0.35">
      <c r="A256" s="18" t="s">
        <v>111</v>
      </c>
      <c r="B256" s="26" t="str">
        <f>IF(BASE_DE_DATOS!R23="","",BASE_DE_DATOS!R23)</f>
        <v>VÍCTOR LEONARDO OLMEDO GONZALEZ</v>
      </c>
      <c r="C256" s="18" t="s">
        <v>112</v>
      </c>
      <c r="D256" s="26" t="str">
        <f>IF(BASE_DE_DATOS!V23="","",BASE_DE_DATOS!V23)</f>
        <v>0101P3402484l</v>
      </c>
    </row>
    <row r="257" spans="1:4" x14ac:dyDescent="0.35">
      <c r="A257" s="18" t="s">
        <v>113</v>
      </c>
      <c r="B257" s="26" t="str">
        <f>IF(BASE_DE_DATOS!F23="","",BASE_DE_DATOS!F23)</f>
        <v>09:00</v>
      </c>
      <c r="C257" s="18" t="s">
        <v>114</v>
      </c>
      <c r="D257" s="26" t="str">
        <f>IF(BASE_DE_DATOS!O23="","",BASE_DE_DATOS!O23)</f>
        <v/>
      </c>
    </row>
    <row r="258" spans="1:4" x14ac:dyDescent="0.35">
      <c r="A258" s="18" t="s">
        <v>115</v>
      </c>
      <c r="B258" s="19" t="s">
        <v>116</v>
      </c>
      <c r="C258" s="18" t="s">
        <v>117</v>
      </c>
      <c r="D258" s="26">
        <f>IF(BASE_DE_DATOS!G23="","",BASE_DE_DATOS!G23)</f>
        <v>23849</v>
      </c>
    </row>
    <row r="259" spans="1:4" x14ac:dyDescent="0.35">
      <c r="A259" s="18" t="s">
        <v>118</v>
      </c>
      <c r="B259" s="26" t="str">
        <f>IF(BASE_DE_DATOS!I23="","",BASE_DE_DATOS!I23)</f>
        <v>19:00</v>
      </c>
      <c r="C259" s="18" t="s">
        <v>119</v>
      </c>
      <c r="D259" s="26">
        <f>IF(BASE_DE_DATOS!J23="","",BASE_DE_DATOS!J23)</f>
        <v>23849</v>
      </c>
    </row>
    <row r="260" spans="1:4" x14ac:dyDescent="0.35">
      <c r="A260" s="18" t="s">
        <v>115</v>
      </c>
      <c r="B260" s="19" t="s">
        <v>116</v>
      </c>
      <c r="C260" s="45" t="str">
        <f>IF(BASE_DE_DATOS!N23="","",BASE_DE_DATOS!N23)</f>
        <v/>
      </c>
      <c r="D260" s="41"/>
    </row>
    <row r="261" spans="1:4" x14ac:dyDescent="0.35">
      <c r="A261" s="18" t="s">
        <v>120</v>
      </c>
      <c r="B261" s="26" t="str">
        <f>IF(BASE_DE_DATOS!C23="","",BASE_DE_DATOS!C23)</f>
        <v/>
      </c>
      <c r="C261" s="18" t="s">
        <v>121</v>
      </c>
      <c r="D261" s="19"/>
    </row>
    <row r="262" spans="1:4" x14ac:dyDescent="0.35">
      <c r="A262" s="18" t="s">
        <v>122</v>
      </c>
      <c r="B262" s="44" t="str">
        <f>IF(BASE_DE_DATOS!D23="","",BASE_DE_DATOS!D23)</f>
        <v/>
      </c>
      <c r="C262" s="40"/>
      <c r="D262" s="41"/>
    </row>
    <row r="265" spans="1:4" ht="18.5" customHeight="1" x14ac:dyDescent="0.35">
      <c r="A265" s="43" t="str">
        <f>"BITÁCORA " &amp; VLOOKUP(D266, BASE_DE_DATOS!$A$2:$B$100, 2, FALSE)</f>
        <v>BITÁCORA JULIO</v>
      </c>
      <c r="B265" s="40"/>
      <c r="C265" s="40"/>
      <c r="D265" s="41"/>
    </row>
    <row r="266" spans="1:4" x14ac:dyDescent="0.35">
      <c r="A266" s="18" t="s">
        <v>107</v>
      </c>
      <c r="B266" s="19" t="s">
        <v>29</v>
      </c>
      <c r="C266" s="18" t="s">
        <v>108</v>
      </c>
      <c r="D266" s="26" t="str">
        <f>IF(BASE_DE_DATOS!A24="","",BASE_DE_DATOS!A24)</f>
        <v>23/07/2026</v>
      </c>
    </row>
    <row r="267" spans="1:4" x14ac:dyDescent="0.35">
      <c r="A267" s="18" t="s">
        <v>109</v>
      </c>
      <c r="B267" s="26" t="str">
        <f>IF(BASE_DE_DATOS!T24="","",BASE_DE_DATOS!T24)</f>
        <v>NISSAN VERSA</v>
      </c>
      <c r="C267" s="18" t="s">
        <v>110</v>
      </c>
      <c r="D267" s="26" t="str">
        <f>IF(BASE_DE_DATOS!U24="","",BASE_DE_DATOS!U24)</f>
        <v>MGX-543-A</v>
      </c>
    </row>
    <row r="268" spans="1:4" x14ac:dyDescent="0.35">
      <c r="A268" s="18" t="s">
        <v>111</v>
      </c>
      <c r="B268" s="26" t="str">
        <f>IF(BASE_DE_DATOS!R24="","",BASE_DE_DATOS!R24)</f>
        <v>VÍCTOR LEONARDO OLMEDO GONZALEZ</v>
      </c>
      <c r="C268" s="18" t="s">
        <v>112</v>
      </c>
      <c r="D268" s="26" t="str">
        <f>IF(BASE_DE_DATOS!V24="","",BASE_DE_DATOS!V24)</f>
        <v>0101P3402484l</v>
      </c>
    </row>
    <row r="269" spans="1:4" x14ac:dyDescent="0.35">
      <c r="A269" s="18" t="s">
        <v>113</v>
      </c>
      <c r="B269" s="26" t="str">
        <f>IF(BASE_DE_DATOS!F24="","",BASE_DE_DATOS!F24)</f>
        <v>09:00</v>
      </c>
      <c r="C269" s="18" t="s">
        <v>114</v>
      </c>
      <c r="D269" s="26" t="str">
        <f>IF(BASE_DE_DATOS!O24="","",BASE_DE_DATOS!O24)</f>
        <v/>
      </c>
    </row>
    <row r="270" spans="1:4" x14ac:dyDescent="0.35">
      <c r="A270" s="18" t="s">
        <v>115</v>
      </c>
      <c r="B270" s="19" t="s">
        <v>116</v>
      </c>
      <c r="C270" s="18" t="s">
        <v>117</v>
      </c>
      <c r="D270" s="26">
        <f>IF(BASE_DE_DATOS!G24="","",BASE_DE_DATOS!G24)</f>
        <v>23849</v>
      </c>
    </row>
    <row r="271" spans="1:4" x14ac:dyDescent="0.35">
      <c r="A271" s="18" t="s">
        <v>118</v>
      </c>
      <c r="B271" s="26" t="str">
        <f>IF(BASE_DE_DATOS!I24="","",BASE_DE_DATOS!I24)</f>
        <v>19:00</v>
      </c>
      <c r="C271" s="18" t="s">
        <v>119</v>
      </c>
      <c r="D271" s="26">
        <f>IF(BASE_DE_DATOS!J24="","",BASE_DE_DATOS!J24)</f>
        <v>23849</v>
      </c>
    </row>
    <row r="272" spans="1:4" x14ac:dyDescent="0.35">
      <c r="A272" s="18" t="s">
        <v>115</v>
      </c>
      <c r="B272" s="19" t="s">
        <v>116</v>
      </c>
      <c r="C272" s="45" t="str">
        <f>IF(BASE_DE_DATOS!N24="","",BASE_DE_DATOS!N24)</f>
        <v/>
      </c>
      <c r="D272" s="41"/>
    </row>
    <row r="273" spans="1:4" x14ac:dyDescent="0.35">
      <c r="A273" s="18" t="s">
        <v>120</v>
      </c>
      <c r="B273" s="26" t="str">
        <f>IF(BASE_DE_DATOS!C24="","",BASE_DE_DATOS!C24)</f>
        <v/>
      </c>
      <c r="C273" s="18" t="s">
        <v>121</v>
      </c>
      <c r="D273" s="19"/>
    </row>
    <row r="274" spans="1:4" x14ac:dyDescent="0.35">
      <c r="A274" s="18" t="s">
        <v>122</v>
      </c>
      <c r="B274" s="44" t="str">
        <f>IF(BASE_DE_DATOS!D24="","",BASE_DE_DATOS!D24)</f>
        <v/>
      </c>
      <c r="C274" s="40"/>
      <c r="D274" s="41"/>
    </row>
    <row r="277" spans="1:4" ht="18.5" customHeight="1" x14ac:dyDescent="0.35">
      <c r="A277" s="43" t="str">
        <f>"BITÁCORA " &amp; VLOOKUP(D278, BASE_DE_DATOS!$A$2:$B$100, 2, FALSE)</f>
        <v>BITÁCORA JULIO</v>
      </c>
      <c r="B277" s="40"/>
      <c r="C277" s="40"/>
      <c r="D277" s="41"/>
    </row>
    <row r="278" spans="1:4" x14ac:dyDescent="0.35">
      <c r="A278" s="18" t="s">
        <v>107</v>
      </c>
      <c r="B278" s="19" t="s">
        <v>29</v>
      </c>
      <c r="C278" s="18" t="s">
        <v>108</v>
      </c>
      <c r="D278" s="26" t="str">
        <f>IF(BASE_DE_DATOS!A25="","",BASE_DE_DATOS!A25)</f>
        <v>24/07/2026</v>
      </c>
    </row>
    <row r="279" spans="1:4" x14ac:dyDescent="0.35">
      <c r="A279" s="18" t="s">
        <v>109</v>
      </c>
      <c r="B279" s="26" t="str">
        <f>IF(BASE_DE_DATOS!T25="","",BASE_DE_DATOS!T25)</f>
        <v>NISSAN VERSA</v>
      </c>
      <c r="C279" s="18" t="s">
        <v>110</v>
      </c>
      <c r="D279" s="26" t="str">
        <f>IF(BASE_DE_DATOS!U25="","",BASE_DE_DATOS!U25)</f>
        <v>MGX-543-A</v>
      </c>
    </row>
    <row r="280" spans="1:4" x14ac:dyDescent="0.35">
      <c r="A280" s="18" t="s">
        <v>111</v>
      </c>
      <c r="B280" s="26" t="str">
        <f>IF(BASE_DE_DATOS!R25="","",BASE_DE_DATOS!R25)</f>
        <v>VÍCTOR LEONARDO OLMEDO GONZALEZ</v>
      </c>
      <c r="C280" s="18" t="s">
        <v>112</v>
      </c>
      <c r="D280" s="26" t="str">
        <f>IF(BASE_DE_DATOS!V25="","",BASE_DE_DATOS!V25)</f>
        <v>0101P3402484l</v>
      </c>
    </row>
    <row r="281" spans="1:4" x14ac:dyDescent="0.35">
      <c r="A281" s="18" t="s">
        <v>113</v>
      </c>
      <c r="B281" s="26" t="str">
        <f>IF(BASE_DE_DATOS!F25="","",BASE_DE_DATOS!F25)</f>
        <v>09:00</v>
      </c>
      <c r="C281" s="18" t="s">
        <v>114</v>
      </c>
      <c r="D281" s="26" t="str">
        <f>IF(BASE_DE_DATOS!O25="","",BASE_DE_DATOS!O25)</f>
        <v/>
      </c>
    </row>
    <row r="282" spans="1:4" x14ac:dyDescent="0.35">
      <c r="A282" s="18" t="s">
        <v>115</v>
      </c>
      <c r="B282" s="19" t="s">
        <v>116</v>
      </c>
      <c r="C282" s="18" t="s">
        <v>117</v>
      </c>
      <c r="D282" s="26">
        <f>IF(BASE_DE_DATOS!G25="","",BASE_DE_DATOS!G25)</f>
        <v>23849</v>
      </c>
    </row>
    <row r="283" spans="1:4" x14ac:dyDescent="0.35">
      <c r="A283" s="18" t="s">
        <v>118</v>
      </c>
      <c r="B283" s="26" t="str">
        <f>IF(BASE_DE_DATOS!I25="","",BASE_DE_DATOS!I25)</f>
        <v>19:00</v>
      </c>
      <c r="C283" s="18" t="s">
        <v>119</v>
      </c>
      <c r="D283" s="26">
        <f>IF(BASE_DE_DATOS!J25="","",BASE_DE_DATOS!J25)</f>
        <v>23849</v>
      </c>
    </row>
    <row r="284" spans="1:4" x14ac:dyDescent="0.35">
      <c r="A284" s="18" t="s">
        <v>115</v>
      </c>
      <c r="B284" s="19" t="s">
        <v>116</v>
      </c>
      <c r="C284" s="45" t="str">
        <f>IF(BASE_DE_DATOS!N25="","",BASE_DE_DATOS!N25)</f>
        <v/>
      </c>
      <c r="D284" s="41"/>
    </row>
    <row r="285" spans="1:4" x14ac:dyDescent="0.35">
      <c r="A285" s="18" t="s">
        <v>120</v>
      </c>
      <c r="B285" s="26" t="str">
        <f>IF(BASE_DE_DATOS!C25="","",BASE_DE_DATOS!C25)</f>
        <v/>
      </c>
      <c r="C285" s="18" t="s">
        <v>121</v>
      </c>
      <c r="D285" s="19"/>
    </row>
    <row r="286" spans="1:4" x14ac:dyDescent="0.35">
      <c r="A286" s="18" t="s">
        <v>122</v>
      </c>
      <c r="B286" s="44" t="str">
        <f>IF(BASE_DE_DATOS!D25="","",BASE_DE_DATOS!D25)</f>
        <v/>
      </c>
      <c r="C286" s="40"/>
      <c r="D286" s="41"/>
    </row>
    <row r="289" spans="1:4" ht="18.5" customHeight="1" x14ac:dyDescent="0.35">
      <c r="A289" s="43" t="str">
        <f>"BITÁCORA " &amp; VLOOKUP(D290, BASE_DE_DATOS!$A$2:$B$100, 2, FALSE)</f>
        <v>BITÁCORA JULIO</v>
      </c>
      <c r="B289" s="40"/>
      <c r="C289" s="40"/>
      <c r="D289" s="41"/>
    </row>
    <row r="290" spans="1:4" x14ac:dyDescent="0.35">
      <c r="A290" s="18" t="s">
        <v>107</v>
      </c>
      <c r="B290" s="19" t="s">
        <v>29</v>
      </c>
      <c r="C290" s="18" t="s">
        <v>108</v>
      </c>
      <c r="D290" s="26" t="str">
        <f>IF(BASE_DE_DATOS!A26="","",BASE_DE_DATOS!A26)</f>
        <v>25/07/2026</v>
      </c>
    </row>
    <row r="291" spans="1:4" x14ac:dyDescent="0.35">
      <c r="A291" s="18" t="s">
        <v>109</v>
      </c>
      <c r="B291" s="26" t="str">
        <f>IF(BASE_DE_DATOS!T26="","",BASE_DE_DATOS!T26)</f>
        <v>NISSAN VERSA</v>
      </c>
      <c r="C291" s="18" t="s">
        <v>110</v>
      </c>
      <c r="D291" s="26" t="str">
        <f>IF(BASE_DE_DATOS!U26="","",BASE_DE_DATOS!U26)</f>
        <v>MGX-543-A</v>
      </c>
    </row>
    <row r="292" spans="1:4" x14ac:dyDescent="0.35">
      <c r="A292" s="18" t="s">
        <v>111</v>
      </c>
      <c r="B292" s="26" t="str">
        <f>IF(BASE_DE_DATOS!R26="","",BASE_DE_DATOS!R26)</f>
        <v>VÍCTOR LEONARDO OLMEDO GONZALEZ</v>
      </c>
      <c r="C292" s="18" t="s">
        <v>112</v>
      </c>
      <c r="D292" s="26" t="str">
        <f>IF(BASE_DE_DATOS!V26="","",BASE_DE_DATOS!V26)</f>
        <v>0101P3402484l</v>
      </c>
    </row>
    <row r="293" spans="1:4" x14ac:dyDescent="0.35">
      <c r="A293" s="18" t="s">
        <v>113</v>
      </c>
      <c r="B293" s="26" t="str">
        <f>IF(BASE_DE_DATOS!F26="","",BASE_DE_DATOS!F26)</f>
        <v>09:00</v>
      </c>
      <c r="C293" s="18" t="s">
        <v>114</v>
      </c>
      <c r="D293" s="26" t="str">
        <f>IF(BASE_DE_DATOS!O26="","",BASE_DE_DATOS!O26)</f>
        <v/>
      </c>
    </row>
    <row r="294" spans="1:4" x14ac:dyDescent="0.35">
      <c r="A294" s="18" t="s">
        <v>115</v>
      </c>
      <c r="B294" s="19" t="s">
        <v>116</v>
      </c>
      <c r="C294" s="18" t="s">
        <v>117</v>
      </c>
      <c r="D294" s="26">
        <f>IF(BASE_DE_DATOS!G26="","",BASE_DE_DATOS!G26)</f>
        <v>23849</v>
      </c>
    </row>
    <row r="295" spans="1:4" x14ac:dyDescent="0.35">
      <c r="A295" s="18" t="s">
        <v>118</v>
      </c>
      <c r="B295" s="26" t="str">
        <f>IF(BASE_DE_DATOS!I26="","",BASE_DE_DATOS!I26)</f>
        <v>19:00</v>
      </c>
      <c r="C295" s="18" t="s">
        <v>119</v>
      </c>
      <c r="D295" s="26">
        <f>IF(BASE_DE_DATOS!J26="","",BASE_DE_DATOS!J26)</f>
        <v>23849</v>
      </c>
    </row>
    <row r="296" spans="1:4" x14ac:dyDescent="0.35">
      <c r="A296" s="18" t="s">
        <v>115</v>
      </c>
      <c r="B296" s="19" t="s">
        <v>116</v>
      </c>
      <c r="C296" s="45" t="str">
        <f>IF(BASE_DE_DATOS!N26="","",BASE_DE_DATOS!N26)</f>
        <v/>
      </c>
      <c r="D296" s="41"/>
    </row>
    <row r="297" spans="1:4" x14ac:dyDescent="0.35">
      <c r="A297" s="18" t="s">
        <v>120</v>
      </c>
      <c r="B297" s="26" t="str">
        <f>IF(BASE_DE_DATOS!C26="","",BASE_DE_DATOS!C26)</f>
        <v/>
      </c>
      <c r="C297" s="18" t="s">
        <v>121</v>
      </c>
      <c r="D297" s="19"/>
    </row>
    <row r="298" spans="1:4" x14ac:dyDescent="0.35">
      <c r="A298" s="18" t="s">
        <v>122</v>
      </c>
      <c r="B298" s="44" t="str">
        <f>IF(BASE_DE_DATOS!D26="","",BASE_DE_DATOS!D26)</f>
        <v/>
      </c>
      <c r="C298" s="40"/>
      <c r="D298" s="41"/>
    </row>
    <row r="301" spans="1:4" ht="18.5" customHeight="1" x14ac:dyDescent="0.35">
      <c r="A301" s="43" t="str">
        <f>"BITÁCORA " &amp; VLOOKUP(D302, BASE_DE_DATOS!$A$2:$B$100, 2, FALSE)</f>
        <v>BITÁCORA JULIO</v>
      </c>
      <c r="B301" s="40"/>
      <c r="C301" s="40"/>
      <c r="D301" s="41"/>
    </row>
    <row r="302" spans="1:4" x14ac:dyDescent="0.35">
      <c r="A302" s="18" t="s">
        <v>107</v>
      </c>
      <c r="B302" s="19" t="s">
        <v>29</v>
      </c>
      <c r="C302" s="18" t="s">
        <v>108</v>
      </c>
      <c r="D302" s="26" t="str">
        <f>IF(BASE_DE_DATOS!A27="","",BASE_DE_DATOS!A27)</f>
        <v>26/07/2026</v>
      </c>
    </row>
    <row r="303" spans="1:4" x14ac:dyDescent="0.35">
      <c r="A303" s="18" t="s">
        <v>109</v>
      </c>
      <c r="B303" s="26" t="str">
        <f>IF(BASE_DE_DATOS!T27="","",BASE_DE_DATOS!T27)</f>
        <v>NISSAN VERSA</v>
      </c>
      <c r="C303" s="18" t="s">
        <v>110</v>
      </c>
      <c r="D303" s="26" t="str">
        <f>IF(BASE_DE_DATOS!U27="","",BASE_DE_DATOS!U27)</f>
        <v>MGX-543-A</v>
      </c>
    </row>
    <row r="304" spans="1:4" x14ac:dyDescent="0.35">
      <c r="A304" s="18" t="s">
        <v>111</v>
      </c>
      <c r="B304" s="26" t="str">
        <f>IF(BASE_DE_DATOS!R27="","",BASE_DE_DATOS!R27)</f>
        <v>VÍCTOR LEONARDO OLMEDO GONZALEZ</v>
      </c>
      <c r="C304" s="18" t="s">
        <v>112</v>
      </c>
      <c r="D304" s="26" t="str">
        <f>IF(BASE_DE_DATOS!V27="","",BASE_DE_DATOS!V27)</f>
        <v>0101P3402484l</v>
      </c>
    </row>
    <row r="305" spans="1:4" x14ac:dyDescent="0.35">
      <c r="A305" s="18" t="s">
        <v>113</v>
      </c>
      <c r="B305" s="26" t="str">
        <f>IF(BASE_DE_DATOS!F27="","",BASE_DE_DATOS!F27)</f>
        <v>09:00</v>
      </c>
      <c r="C305" s="18" t="s">
        <v>114</v>
      </c>
      <c r="D305" s="26" t="str">
        <f>IF(BASE_DE_DATOS!O27="","",BASE_DE_DATOS!O27)</f>
        <v/>
      </c>
    </row>
    <row r="306" spans="1:4" x14ac:dyDescent="0.35">
      <c r="A306" s="18" t="s">
        <v>115</v>
      </c>
      <c r="B306" s="19" t="s">
        <v>116</v>
      </c>
      <c r="C306" s="18" t="s">
        <v>117</v>
      </c>
      <c r="D306" s="26">
        <f>IF(BASE_DE_DATOS!G27="","",BASE_DE_DATOS!G27)</f>
        <v>23849</v>
      </c>
    </row>
    <row r="307" spans="1:4" x14ac:dyDescent="0.35">
      <c r="A307" s="18" t="s">
        <v>118</v>
      </c>
      <c r="B307" s="26" t="str">
        <f>IF(BASE_DE_DATOS!I27="","",BASE_DE_DATOS!I27)</f>
        <v>19:00</v>
      </c>
      <c r="C307" s="18" t="s">
        <v>119</v>
      </c>
      <c r="D307" s="26">
        <f>IF(BASE_DE_DATOS!J27="","",BASE_DE_DATOS!J27)</f>
        <v>23849</v>
      </c>
    </row>
    <row r="308" spans="1:4" x14ac:dyDescent="0.35">
      <c r="A308" s="18" t="s">
        <v>115</v>
      </c>
      <c r="B308" s="19" t="s">
        <v>116</v>
      </c>
      <c r="C308" s="45" t="str">
        <f>IF(BASE_DE_DATOS!N27="","",BASE_DE_DATOS!N27)</f>
        <v/>
      </c>
      <c r="D308" s="41"/>
    </row>
    <row r="309" spans="1:4" x14ac:dyDescent="0.35">
      <c r="A309" s="18" t="s">
        <v>120</v>
      </c>
      <c r="B309" s="26" t="str">
        <f>IF(BASE_DE_DATOS!C27="","",BASE_DE_DATOS!C27)</f>
        <v/>
      </c>
      <c r="C309" s="18" t="s">
        <v>121</v>
      </c>
      <c r="D309" s="19"/>
    </row>
    <row r="310" spans="1:4" x14ac:dyDescent="0.35">
      <c r="A310" s="18" t="s">
        <v>122</v>
      </c>
      <c r="B310" s="44" t="str">
        <f>IF(BASE_DE_DATOS!D27="","",BASE_DE_DATOS!D27)</f>
        <v/>
      </c>
      <c r="C310" s="40"/>
      <c r="D310" s="41"/>
    </row>
    <row r="313" spans="1:4" ht="18.5" customHeight="1" x14ac:dyDescent="0.35">
      <c r="A313" s="43" t="str">
        <f>"BITÁCORA " &amp; VLOOKUP(D314, BASE_DE_DATOS!$A$2:$B$100, 2, FALSE)</f>
        <v>BITÁCORA JULIO</v>
      </c>
      <c r="B313" s="40"/>
      <c r="C313" s="40"/>
      <c r="D313" s="41"/>
    </row>
    <row r="314" spans="1:4" x14ac:dyDescent="0.35">
      <c r="A314" s="18" t="s">
        <v>107</v>
      </c>
      <c r="B314" s="19" t="s">
        <v>29</v>
      </c>
      <c r="C314" s="18" t="s">
        <v>108</v>
      </c>
      <c r="D314" s="26" t="str">
        <f>IF(BASE_DE_DATOS!A28="","",BASE_DE_DATOS!A28)</f>
        <v>27/07/2026</v>
      </c>
    </row>
    <row r="315" spans="1:4" x14ac:dyDescent="0.35">
      <c r="A315" s="18" t="s">
        <v>109</v>
      </c>
      <c r="B315" s="26" t="str">
        <f>IF(BASE_DE_DATOS!T28="","",BASE_DE_DATOS!T28)</f>
        <v>NISSAN VERSA</v>
      </c>
      <c r="C315" s="18" t="s">
        <v>110</v>
      </c>
      <c r="D315" s="26" t="str">
        <f>IF(BASE_DE_DATOS!U28="","",BASE_DE_DATOS!U28)</f>
        <v>MGX-543-A</v>
      </c>
    </row>
    <row r="316" spans="1:4" x14ac:dyDescent="0.35">
      <c r="A316" s="18" t="s">
        <v>111</v>
      </c>
      <c r="B316" s="26" t="str">
        <f>IF(BASE_DE_DATOS!R28="","",BASE_DE_DATOS!R28)</f>
        <v>VÍCTOR LEONARDO OLMEDO GONZALEZ</v>
      </c>
      <c r="C316" s="18" t="s">
        <v>112</v>
      </c>
      <c r="D316" s="26" t="str">
        <f>IF(BASE_DE_DATOS!V28="","",BASE_DE_DATOS!V28)</f>
        <v>0101P3402484l</v>
      </c>
    </row>
    <row r="317" spans="1:4" x14ac:dyDescent="0.35">
      <c r="A317" s="18" t="s">
        <v>113</v>
      </c>
      <c r="B317" s="26" t="str">
        <f>IF(BASE_DE_DATOS!F28="","",BASE_DE_DATOS!F28)</f>
        <v>09:00</v>
      </c>
      <c r="C317" s="18" t="s">
        <v>114</v>
      </c>
      <c r="D317" s="26" t="str">
        <f>IF(BASE_DE_DATOS!O28="","",BASE_DE_DATOS!O28)</f>
        <v/>
      </c>
    </row>
    <row r="318" spans="1:4" x14ac:dyDescent="0.35">
      <c r="A318" s="18" t="s">
        <v>115</v>
      </c>
      <c r="B318" s="19" t="s">
        <v>116</v>
      </c>
      <c r="C318" s="18" t="s">
        <v>117</v>
      </c>
      <c r="D318" s="26">
        <f>IF(BASE_DE_DATOS!G28="","",BASE_DE_DATOS!G28)</f>
        <v>23849</v>
      </c>
    </row>
    <row r="319" spans="1:4" x14ac:dyDescent="0.35">
      <c r="A319" s="18" t="s">
        <v>118</v>
      </c>
      <c r="B319" s="26" t="str">
        <f>IF(BASE_DE_DATOS!I28="","",BASE_DE_DATOS!I28)</f>
        <v>19:00</v>
      </c>
      <c r="C319" s="18" t="s">
        <v>119</v>
      </c>
      <c r="D319" s="26">
        <f>IF(BASE_DE_DATOS!J28="","",BASE_DE_DATOS!J28)</f>
        <v>23849</v>
      </c>
    </row>
    <row r="320" spans="1:4" x14ac:dyDescent="0.35">
      <c r="A320" s="18" t="s">
        <v>115</v>
      </c>
      <c r="B320" s="19" t="s">
        <v>116</v>
      </c>
      <c r="C320" s="45" t="str">
        <f>IF(BASE_DE_DATOS!N28="","",BASE_DE_DATOS!N28)</f>
        <v/>
      </c>
      <c r="D320" s="41"/>
    </row>
    <row r="321" spans="1:4" x14ac:dyDescent="0.35">
      <c r="A321" s="18" t="s">
        <v>120</v>
      </c>
      <c r="B321" s="26" t="str">
        <f>IF(BASE_DE_DATOS!C28="","",BASE_DE_DATOS!C28)</f>
        <v/>
      </c>
      <c r="C321" s="18" t="s">
        <v>121</v>
      </c>
      <c r="D321" s="19"/>
    </row>
    <row r="322" spans="1:4" x14ac:dyDescent="0.35">
      <c r="A322" s="18" t="s">
        <v>122</v>
      </c>
      <c r="B322" s="44" t="str">
        <f>IF(BASE_DE_DATOS!D28="","",BASE_DE_DATOS!D28)</f>
        <v/>
      </c>
      <c r="C322" s="40"/>
      <c r="D322" s="41"/>
    </row>
    <row r="325" spans="1:4" ht="18.5" customHeight="1" x14ac:dyDescent="0.35">
      <c r="A325" s="43" t="str">
        <f>"BITÁCORA " &amp; VLOOKUP(D326, BASE_DE_DATOS!$A$2:$B$100, 2, FALSE)</f>
        <v>BITÁCORA JULIO</v>
      </c>
      <c r="B325" s="40"/>
      <c r="C325" s="40"/>
      <c r="D325" s="41"/>
    </row>
    <row r="326" spans="1:4" x14ac:dyDescent="0.35">
      <c r="A326" s="18" t="s">
        <v>107</v>
      </c>
      <c r="B326" s="19" t="s">
        <v>29</v>
      </c>
      <c r="C326" s="18" t="s">
        <v>108</v>
      </c>
      <c r="D326" s="26" t="str">
        <f>IF(BASE_DE_DATOS!A29="","",BASE_DE_DATOS!A29)</f>
        <v>28/07/2026</v>
      </c>
    </row>
    <row r="327" spans="1:4" x14ac:dyDescent="0.35">
      <c r="A327" s="18" t="s">
        <v>109</v>
      </c>
      <c r="B327" s="26" t="str">
        <f>IF(BASE_DE_DATOS!T29="","",BASE_DE_DATOS!T29)</f>
        <v>NISSAN VERSA</v>
      </c>
      <c r="C327" s="18" t="s">
        <v>110</v>
      </c>
      <c r="D327" s="26" t="str">
        <f>IF(BASE_DE_DATOS!U29="","",BASE_DE_DATOS!U29)</f>
        <v>MGX-543-A</v>
      </c>
    </row>
    <row r="328" spans="1:4" x14ac:dyDescent="0.35">
      <c r="A328" s="18" t="s">
        <v>111</v>
      </c>
      <c r="B328" s="26" t="str">
        <f>IF(BASE_DE_DATOS!R29="","",BASE_DE_DATOS!R29)</f>
        <v>VÍCTOR LEONARDO OLMEDO GONZALEZ</v>
      </c>
      <c r="C328" s="18" t="s">
        <v>112</v>
      </c>
      <c r="D328" s="26" t="str">
        <f>IF(BASE_DE_DATOS!V29="","",BASE_DE_DATOS!V29)</f>
        <v>0101P3402484l</v>
      </c>
    </row>
    <row r="329" spans="1:4" x14ac:dyDescent="0.35">
      <c r="A329" s="18" t="s">
        <v>113</v>
      </c>
      <c r="B329" s="26" t="str">
        <f>IF(BASE_DE_DATOS!F29="","",BASE_DE_DATOS!F29)</f>
        <v>09:00</v>
      </c>
      <c r="C329" s="18" t="s">
        <v>114</v>
      </c>
      <c r="D329" s="26" t="str">
        <f>IF(BASE_DE_DATOS!O29="","",BASE_DE_DATOS!O29)</f>
        <v/>
      </c>
    </row>
    <row r="330" spans="1:4" x14ac:dyDescent="0.35">
      <c r="A330" s="18" t="s">
        <v>115</v>
      </c>
      <c r="B330" s="19" t="s">
        <v>116</v>
      </c>
      <c r="C330" s="18" t="s">
        <v>117</v>
      </c>
      <c r="D330" s="26">
        <f>IF(BASE_DE_DATOS!G29="","",BASE_DE_DATOS!G29)</f>
        <v>23849</v>
      </c>
    </row>
    <row r="331" spans="1:4" x14ac:dyDescent="0.35">
      <c r="A331" s="18" t="s">
        <v>118</v>
      </c>
      <c r="B331" s="26" t="str">
        <f>IF(BASE_DE_DATOS!I29="","",BASE_DE_DATOS!I29)</f>
        <v>19:00</v>
      </c>
      <c r="C331" s="18" t="s">
        <v>119</v>
      </c>
      <c r="D331" s="26">
        <f>IF(BASE_DE_DATOS!J29="","",BASE_DE_DATOS!J29)</f>
        <v>23849</v>
      </c>
    </row>
    <row r="332" spans="1:4" x14ac:dyDescent="0.35">
      <c r="A332" s="18" t="s">
        <v>115</v>
      </c>
      <c r="B332" s="19" t="s">
        <v>116</v>
      </c>
      <c r="C332" s="45" t="str">
        <f>IF(BASE_DE_DATOS!N29="","",BASE_DE_DATOS!N29)</f>
        <v/>
      </c>
      <c r="D332" s="41"/>
    </row>
    <row r="333" spans="1:4" x14ac:dyDescent="0.35">
      <c r="A333" s="18" t="s">
        <v>120</v>
      </c>
      <c r="B333" s="26" t="str">
        <f>IF(BASE_DE_DATOS!C29="","",BASE_DE_DATOS!C29)</f>
        <v/>
      </c>
      <c r="C333" s="18" t="s">
        <v>121</v>
      </c>
      <c r="D333" s="19"/>
    </row>
    <row r="334" spans="1:4" x14ac:dyDescent="0.35">
      <c r="A334" s="18" t="s">
        <v>122</v>
      </c>
      <c r="B334" s="44" t="str">
        <f>IF(BASE_DE_DATOS!D29="","",BASE_DE_DATOS!D29)</f>
        <v/>
      </c>
      <c r="C334" s="40"/>
      <c r="D334" s="41"/>
    </row>
    <row r="337" spans="1:4" ht="18.5" customHeight="1" x14ac:dyDescent="0.35">
      <c r="A337" s="43" t="str">
        <f>"BITÁCORA " &amp; VLOOKUP(D338, BASE_DE_DATOS!$A$2:$B$100, 2, FALSE)</f>
        <v>BITÁCORA JULIO</v>
      </c>
      <c r="B337" s="40"/>
      <c r="C337" s="40"/>
      <c r="D337" s="41"/>
    </row>
    <row r="338" spans="1:4" x14ac:dyDescent="0.35">
      <c r="A338" s="18" t="s">
        <v>107</v>
      </c>
      <c r="B338" s="19" t="s">
        <v>29</v>
      </c>
      <c r="C338" s="18" t="s">
        <v>108</v>
      </c>
      <c r="D338" s="26" t="str">
        <f>IF(BASE_DE_DATOS!A30="","",BASE_DE_DATOS!A30)</f>
        <v>29/07/2026</v>
      </c>
    </row>
    <row r="339" spans="1:4" x14ac:dyDescent="0.35">
      <c r="A339" s="18" t="s">
        <v>109</v>
      </c>
      <c r="B339" s="26" t="str">
        <f>IF(BASE_DE_DATOS!T30="","",BASE_DE_DATOS!T30)</f>
        <v>NISSAN VERSA</v>
      </c>
      <c r="C339" s="18" t="s">
        <v>110</v>
      </c>
      <c r="D339" s="26" t="str">
        <f>IF(BASE_DE_DATOS!U30="","",BASE_DE_DATOS!U30)</f>
        <v>MGX-543-A</v>
      </c>
    </row>
    <row r="340" spans="1:4" x14ac:dyDescent="0.35">
      <c r="A340" s="18" t="s">
        <v>111</v>
      </c>
      <c r="B340" s="26" t="str">
        <f>IF(BASE_DE_DATOS!R30="","",BASE_DE_DATOS!R30)</f>
        <v>VÍCTOR LEONARDO OLMEDO GONZALEZ</v>
      </c>
      <c r="C340" s="18" t="s">
        <v>112</v>
      </c>
      <c r="D340" s="26" t="str">
        <f>IF(BASE_DE_DATOS!V30="","",BASE_DE_DATOS!V30)</f>
        <v>0101P3402484l</v>
      </c>
    </row>
    <row r="341" spans="1:4" x14ac:dyDescent="0.35">
      <c r="A341" s="18" t="s">
        <v>113</v>
      </c>
      <c r="B341" s="26" t="str">
        <f>IF(BASE_DE_DATOS!F30="","",BASE_DE_DATOS!F30)</f>
        <v>09:00</v>
      </c>
      <c r="C341" s="18" t="s">
        <v>114</v>
      </c>
      <c r="D341" s="26" t="str">
        <f>IF(BASE_DE_DATOS!O30="","",BASE_DE_DATOS!O30)</f>
        <v/>
      </c>
    </row>
    <row r="342" spans="1:4" x14ac:dyDescent="0.35">
      <c r="A342" s="18" t="s">
        <v>115</v>
      </c>
      <c r="B342" s="19" t="s">
        <v>116</v>
      </c>
      <c r="C342" s="18" t="s">
        <v>117</v>
      </c>
      <c r="D342" s="26">
        <f>IF(BASE_DE_DATOS!G30="","",BASE_DE_DATOS!G30)</f>
        <v>23849</v>
      </c>
    </row>
    <row r="343" spans="1:4" x14ac:dyDescent="0.35">
      <c r="A343" s="18" t="s">
        <v>118</v>
      </c>
      <c r="B343" s="26" t="str">
        <f>IF(BASE_DE_DATOS!I30="","",BASE_DE_DATOS!I30)</f>
        <v>19:00</v>
      </c>
      <c r="C343" s="18" t="s">
        <v>119</v>
      </c>
      <c r="D343" s="26">
        <f>IF(BASE_DE_DATOS!J30="","",BASE_DE_DATOS!J30)</f>
        <v>23849</v>
      </c>
    </row>
    <row r="344" spans="1:4" x14ac:dyDescent="0.35">
      <c r="A344" s="18" t="s">
        <v>115</v>
      </c>
      <c r="B344" s="19" t="s">
        <v>116</v>
      </c>
      <c r="C344" s="45" t="str">
        <f>IF(BASE_DE_DATOS!N30="","",BASE_DE_DATOS!N30)</f>
        <v/>
      </c>
      <c r="D344" s="41"/>
    </row>
    <row r="345" spans="1:4" x14ac:dyDescent="0.35">
      <c r="A345" s="18" t="s">
        <v>120</v>
      </c>
      <c r="B345" s="26" t="str">
        <f>IF(BASE_DE_DATOS!C30="","",BASE_DE_DATOS!C30)</f>
        <v/>
      </c>
      <c r="C345" s="18" t="s">
        <v>121</v>
      </c>
      <c r="D345" s="19"/>
    </row>
    <row r="346" spans="1:4" x14ac:dyDescent="0.35">
      <c r="A346" s="18" t="s">
        <v>122</v>
      </c>
      <c r="B346" s="44" t="str">
        <f>IF(BASE_DE_DATOS!D30="","",BASE_DE_DATOS!D30)</f>
        <v/>
      </c>
      <c r="C346" s="40"/>
      <c r="D346" s="41"/>
    </row>
    <row r="349" spans="1:4" ht="18.5" customHeight="1" x14ac:dyDescent="0.35">
      <c r="A349" s="43" t="str">
        <f>"BITÁCORA " &amp; VLOOKUP(D350, BASE_DE_DATOS!$A$2:$B$100, 2, FALSE)</f>
        <v>BITÁCORA JULIO</v>
      </c>
      <c r="B349" s="40"/>
      <c r="C349" s="40"/>
      <c r="D349" s="41"/>
    </row>
    <row r="350" spans="1:4" x14ac:dyDescent="0.35">
      <c r="A350" s="18" t="s">
        <v>107</v>
      </c>
      <c r="B350" s="19" t="s">
        <v>29</v>
      </c>
      <c r="C350" s="18" t="s">
        <v>108</v>
      </c>
      <c r="D350" s="26" t="str">
        <f>IF(BASE_DE_DATOS!A31="","",BASE_DE_DATOS!A31)</f>
        <v>30/07/2026</v>
      </c>
    </row>
    <row r="351" spans="1:4" x14ac:dyDescent="0.35">
      <c r="A351" s="18" t="s">
        <v>109</v>
      </c>
      <c r="B351" s="26" t="str">
        <f>IF(BASE_DE_DATOS!T31="","",BASE_DE_DATOS!T31)</f>
        <v>NISSAN VERSA</v>
      </c>
      <c r="C351" s="18" t="s">
        <v>110</v>
      </c>
      <c r="D351" s="26" t="str">
        <f>IF(BASE_DE_DATOS!U31="","",BASE_DE_DATOS!U31)</f>
        <v>MGX-543-A</v>
      </c>
    </row>
    <row r="352" spans="1:4" x14ac:dyDescent="0.35">
      <c r="A352" s="18" t="s">
        <v>111</v>
      </c>
      <c r="B352" s="26" t="str">
        <f>IF(BASE_DE_DATOS!R31="","",BASE_DE_DATOS!R31)</f>
        <v>VÍCTOR LEONARDO OLMEDO GONZALEZ</v>
      </c>
      <c r="C352" s="18" t="s">
        <v>112</v>
      </c>
      <c r="D352" s="26" t="str">
        <f>IF(BASE_DE_DATOS!V31="","",BASE_DE_DATOS!V31)</f>
        <v>0101P3402484l</v>
      </c>
    </row>
    <row r="353" spans="1:4" x14ac:dyDescent="0.35">
      <c r="A353" s="18" t="s">
        <v>113</v>
      </c>
      <c r="B353" s="26" t="str">
        <f>IF(BASE_DE_DATOS!F31="","",BASE_DE_DATOS!F31)</f>
        <v>09:00</v>
      </c>
      <c r="C353" s="18" t="s">
        <v>114</v>
      </c>
      <c r="D353" s="26" t="str">
        <f>IF(BASE_DE_DATOS!O31="","",BASE_DE_DATOS!O31)</f>
        <v/>
      </c>
    </row>
    <row r="354" spans="1:4" x14ac:dyDescent="0.35">
      <c r="A354" s="18" t="s">
        <v>115</v>
      </c>
      <c r="B354" s="19" t="s">
        <v>116</v>
      </c>
      <c r="C354" s="18" t="s">
        <v>117</v>
      </c>
      <c r="D354" s="26">
        <f>IF(BASE_DE_DATOS!G31="","",BASE_DE_DATOS!G31)</f>
        <v>23849</v>
      </c>
    </row>
    <row r="355" spans="1:4" x14ac:dyDescent="0.35">
      <c r="A355" s="18" t="s">
        <v>118</v>
      </c>
      <c r="B355" s="26" t="str">
        <f>IF(BASE_DE_DATOS!I31="","",BASE_DE_DATOS!I31)</f>
        <v>19:00</v>
      </c>
      <c r="C355" s="18" t="s">
        <v>119</v>
      </c>
      <c r="D355" s="26">
        <f>IF(BASE_DE_DATOS!J31="","",BASE_DE_DATOS!J31)</f>
        <v>23849</v>
      </c>
    </row>
    <row r="356" spans="1:4" x14ac:dyDescent="0.35">
      <c r="A356" s="18" t="s">
        <v>115</v>
      </c>
      <c r="B356" s="19" t="s">
        <v>116</v>
      </c>
      <c r="C356" s="45" t="str">
        <f>IF(BASE_DE_DATOS!N31="","",BASE_DE_DATOS!N31)</f>
        <v/>
      </c>
      <c r="D356" s="41"/>
    </row>
    <row r="357" spans="1:4" x14ac:dyDescent="0.35">
      <c r="A357" s="18" t="s">
        <v>120</v>
      </c>
      <c r="B357" s="26" t="str">
        <f>IF(BASE_DE_DATOS!C31="","",BASE_DE_DATOS!C31)</f>
        <v/>
      </c>
      <c r="C357" s="18" t="s">
        <v>121</v>
      </c>
      <c r="D357" s="19"/>
    </row>
    <row r="358" spans="1:4" x14ac:dyDescent="0.35">
      <c r="A358" s="18" t="s">
        <v>122</v>
      </c>
      <c r="B358" s="44" t="str">
        <f>IF(BASE_DE_DATOS!D31="","",BASE_DE_DATOS!D31)</f>
        <v/>
      </c>
      <c r="C358" s="40"/>
      <c r="D358" s="41"/>
    </row>
    <row r="361" spans="1:4" ht="18.5" customHeight="1" x14ac:dyDescent="0.35">
      <c r="A361" s="43" t="str">
        <f>"BITÁCORA " &amp; VLOOKUP(D362, BASE_DE_DATOS!$A$2:$B$100, 2, FALSE)</f>
        <v>BITÁCORA JULIO</v>
      </c>
      <c r="B361" s="40"/>
      <c r="C361" s="40"/>
      <c r="D361" s="41"/>
    </row>
    <row r="362" spans="1:4" x14ac:dyDescent="0.35">
      <c r="A362" s="18" t="s">
        <v>107</v>
      </c>
      <c r="B362" s="19" t="s">
        <v>29</v>
      </c>
      <c r="C362" s="18" t="s">
        <v>108</v>
      </c>
      <c r="D362" s="26" t="str">
        <f>IF(BASE_DE_DATOS!A32="","",BASE_DE_DATOS!A32)</f>
        <v>31/07/2026</v>
      </c>
    </row>
    <row r="363" spans="1:4" x14ac:dyDescent="0.35">
      <c r="A363" s="18" t="s">
        <v>109</v>
      </c>
      <c r="B363" s="26" t="str">
        <f>IF(BASE_DE_DATOS!T32="","",BASE_DE_DATOS!T32)</f>
        <v>NISSAN VERSA</v>
      </c>
      <c r="C363" s="18" t="s">
        <v>110</v>
      </c>
      <c r="D363" s="26" t="str">
        <f>IF(BASE_DE_DATOS!U32="","",BASE_DE_DATOS!U32)</f>
        <v>MGX-543-A</v>
      </c>
    </row>
    <row r="364" spans="1:4" x14ac:dyDescent="0.35">
      <c r="A364" s="18" t="s">
        <v>111</v>
      </c>
      <c r="B364" s="26" t="str">
        <f>IF(BASE_DE_DATOS!R32="","",BASE_DE_DATOS!R32)</f>
        <v>VÍCTOR LEONARDO OLMEDO GONZALEZ</v>
      </c>
      <c r="C364" s="18" t="s">
        <v>112</v>
      </c>
      <c r="D364" s="26" t="str">
        <f>IF(BASE_DE_DATOS!V32="","",BASE_DE_DATOS!V32)</f>
        <v>0101P3402484l</v>
      </c>
    </row>
    <row r="365" spans="1:4" x14ac:dyDescent="0.35">
      <c r="A365" s="18" t="s">
        <v>113</v>
      </c>
      <c r="B365" s="26" t="str">
        <f>IF(BASE_DE_DATOS!F32="","",BASE_DE_DATOS!F32)</f>
        <v>09:00</v>
      </c>
      <c r="C365" s="18" t="s">
        <v>114</v>
      </c>
      <c r="D365" s="26" t="str">
        <f>IF(BASE_DE_DATOS!O32="","",BASE_DE_DATOS!O32)</f>
        <v/>
      </c>
    </row>
    <row r="366" spans="1:4" x14ac:dyDescent="0.35">
      <c r="A366" s="18" t="s">
        <v>115</v>
      </c>
      <c r="B366" s="19" t="s">
        <v>116</v>
      </c>
      <c r="C366" s="18" t="s">
        <v>117</v>
      </c>
      <c r="D366" s="26">
        <f>IF(BASE_DE_DATOS!G32="","",BASE_DE_DATOS!G32)</f>
        <v>23849</v>
      </c>
    </row>
    <row r="367" spans="1:4" x14ac:dyDescent="0.35">
      <c r="A367" s="18" t="s">
        <v>118</v>
      </c>
      <c r="B367" s="26" t="str">
        <f>IF(BASE_DE_DATOS!I32="","",BASE_DE_DATOS!I32)</f>
        <v>19:00</v>
      </c>
      <c r="C367" s="18" t="s">
        <v>119</v>
      </c>
      <c r="D367" s="26">
        <f>IF(BASE_DE_DATOS!J32="","",BASE_DE_DATOS!J32)</f>
        <v>23849</v>
      </c>
    </row>
    <row r="368" spans="1:4" x14ac:dyDescent="0.35">
      <c r="A368" s="18" t="s">
        <v>115</v>
      </c>
      <c r="B368" s="19" t="s">
        <v>116</v>
      </c>
      <c r="C368" s="45" t="str">
        <f>IF(BASE_DE_DATOS!N32="","",BASE_DE_DATOS!N32)</f>
        <v/>
      </c>
      <c r="D368" s="41"/>
    </row>
    <row r="369" spans="1:4" x14ac:dyDescent="0.35">
      <c r="A369" s="18" t="s">
        <v>120</v>
      </c>
      <c r="B369" s="26" t="str">
        <f>IF(BASE_DE_DATOS!C32="","",BASE_DE_DATOS!C32)</f>
        <v/>
      </c>
      <c r="C369" s="18" t="s">
        <v>121</v>
      </c>
      <c r="D369" s="19"/>
    </row>
    <row r="370" spans="1:4" x14ac:dyDescent="0.35">
      <c r="A370" s="18" t="s">
        <v>122</v>
      </c>
      <c r="B370" s="44" t="str">
        <f>IF(BASE_DE_DATOS!D32="","",BASE_DE_DATOS!D32)</f>
        <v/>
      </c>
      <c r="C370" s="40"/>
      <c r="D370" s="41"/>
    </row>
  </sheetData>
  <mergeCells count="93">
    <mergeCell ref="A25:D25"/>
    <mergeCell ref="B106:D106"/>
    <mergeCell ref="C224:D224"/>
    <mergeCell ref="B214:D214"/>
    <mergeCell ref="B58:D58"/>
    <mergeCell ref="A1:D1"/>
    <mergeCell ref="B154:D154"/>
    <mergeCell ref="A205:D205"/>
    <mergeCell ref="B286:D286"/>
    <mergeCell ref="C272:D272"/>
    <mergeCell ref="A133:D133"/>
    <mergeCell ref="A193:D193"/>
    <mergeCell ref="A37:D37"/>
    <mergeCell ref="C32:D32"/>
    <mergeCell ref="B22:D22"/>
    <mergeCell ref="B238:D238"/>
    <mergeCell ref="B130:D130"/>
    <mergeCell ref="C140:D140"/>
    <mergeCell ref="B262:D262"/>
    <mergeCell ref="C260:D260"/>
    <mergeCell ref="C104:D104"/>
    <mergeCell ref="C8:D8"/>
    <mergeCell ref="A217:D217"/>
    <mergeCell ref="B202:D202"/>
    <mergeCell ref="B46:D46"/>
    <mergeCell ref="A145:D145"/>
    <mergeCell ref="A181:D181"/>
    <mergeCell ref="C68:D68"/>
    <mergeCell ref="A109:D109"/>
    <mergeCell ref="C128:D128"/>
    <mergeCell ref="B178:D178"/>
    <mergeCell ref="C20:D20"/>
    <mergeCell ref="C152:D152"/>
    <mergeCell ref="A157:D157"/>
    <mergeCell ref="C44:D44"/>
    <mergeCell ref="A49:D49"/>
    <mergeCell ref="C80:D80"/>
    <mergeCell ref="B10:D10"/>
    <mergeCell ref="B310:D310"/>
    <mergeCell ref="A169:D169"/>
    <mergeCell ref="A61:D61"/>
    <mergeCell ref="C332:D332"/>
    <mergeCell ref="C188:D188"/>
    <mergeCell ref="C308:D308"/>
    <mergeCell ref="A313:D313"/>
    <mergeCell ref="C284:D284"/>
    <mergeCell ref="B274:D274"/>
    <mergeCell ref="A229:D229"/>
    <mergeCell ref="B226:D226"/>
    <mergeCell ref="C320:D320"/>
    <mergeCell ref="C176:D176"/>
    <mergeCell ref="C296:D296"/>
    <mergeCell ref="B118:D118"/>
    <mergeCell ref="B370:D370"/>
    <mergeCell ref="B70:D70"/>
    <mergeCell ref="A85:D85"/>
    <mergeCell ref="A361:D361"/>
    <mergeCell ref="C248:D248"/>
    <mergeCell ref="C92:D92"/>
    <mergeCell ref="B322:D322"/>
    <mergeCell ref="A253:D253"/>
    <mergeCell ref="B82:D82"/>
    <mergeCell ref="C200:D200"/>
    <mergeCell ref="B334:D334"/>
    <mergeCell ref="B346:D346"/>
    <mergeCell ref="C344:D344"/>
    <mergeCell ref="A337:D337"/>
    <mergeCell ref="C356:D356"/>
    <mergeCell ref="B298:D298"/>
    <mergeCell ref="C368:D368"/>
    <mergeCell ref="A13:D13"/>
    <mergeCell ref="B34:D34"/>
    <mergeCell ref="A289:D289"/>
    <mergeCell ref="C212:D212"/>
    <mergeCell ref="C164:D164"/>
    <mergeCell ref="A73:D73"/>
    <mergeCell ref="A349:D349"/>
    <mergeCell ref="C56:D56"/>
    <mergeCell ref="B142:D142"/>
    <mergeCell ref="A241:D241"/>
    <mergeCell ref="B94:D94"/>
    <mergeCell ref="A277:D277"/>
    <mergeCell ref="B190:D190"/>
    <mergeCell ref="C236:D236"/>
    <mergeCell ref="A325:D325"/>
    <mergeCell ref="A97:D97"/>
    <mergeCell ref="B358:D358"/>
    <mergeCell ref="B250:D250"/>
    <mergeCell ref="C116:D116"/>
    <mergeCell ref="B166:D166"/>
    <mergeCell ref="A265:D265"/>
    <mergeCell ref="A121:D121"/>
    <mergeCell ref="A301:D3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BASE_DE_DATOS</vt:lpstr>
      <vt:lpstr>1_RECORRIDO_Y_CONSUMO</vt:lpstr>
      <vt:lpstr>2_BITACORA_VERSA</vt:lpstr>
      <vt:lpstr>3_BITACORAS_INDIVIDUALES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Olmedo</cp:lastModifiedBy>
  <dcterms:created xsi:type="dcterms:W3CDTF">2026-07-20T17:08:02Z</dcterms:created>
  <dcterms:modified xsi:type="dcterms:W3CDTF">2026-07-20T19:09:35Z</dcterms:modified>
</cp:coreProperties>
</file>